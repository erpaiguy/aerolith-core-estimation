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seja\Downloads\"/>
    </mc:Choice>
  </mc:AlternateContent>
  <xr:revisionPtr revIDLastSave="0" documentId="13_ncr:1_{B9BE35B1-C2AA-4F42-89CF-2EA192091137}" xr6:coauthVersionLast="47" xr6:coauthVersionMax="47" xr10:uidLastSave="{00000000-0000-0000-0000-000000000000}"/>
  <bookViews>
    <workbookView xWindow="38280" yWindow="-120" windowWidth="29040" windowHeight="15720" tabRatio="837" xr2:uid="{00000000-000D-0000-FFFF-FFFF00000000}"/>
  </bookViews>
  <sheets>
    <sheet name="Global Unit Master" sheetId="3" r:id="rId1"/>
    <sheet name="Global Resource Category Master" sheetId="1" r:id="rId2"/>
    <sheet name="Global Resource Master" sheetId="6" r:id="rId3"/>
    <sheet name="Client BOQ" sheetId="2" r:id="rId4"/>
    <sheet name="QTO-Demolition" sheetId="4" r:id="rId5"/>
    <sheet name="QTO-Structure" sheetId="7" r:id="rId6"/>
    <sheet name="QTO-Walls" sheetId="8" r:id="rId7"/>
    <sheet name="QTO-Finishes" sheetId="9" r:id="rId8"/>
    <sheet name="QTO-Joineries" sheetId="10" r:id="rId9"/>
    <sheet name="Working BOQ" sheetId="5" r:id="rId10"/>
    <sheet name="Project Resource Master" sheetId="12" r:id="rId11"/>
    <sheet name="Project Resource Summary" sheetId="16" r:id="rId12"/>
    <sheet name="Rate Analysis" sheetId="11" r:id="rId13"/>
    <sheet name="Vendor Comparison" sheetId="13" r:id="rId14"/>
    <sheet name="Material Supplier Comparison" sheetId="14" r:id="rId15"/>
    <sheet name="Labour Comparison" sheetId="15" r:id="rId16"/>
    <sheet name="Submission Client BOQ" sheetId="17" r:id="rId17"/>
  </sheets>
  <definedNames>
    <definedName name="_xlnm._FilterDatabase" localSheetId="10" hidden="1">'Project Resource Master'!$A$1:$P$69</definedName>
    <definedName name="_xlnm._FilterDatabase" localSheetId="12" hidden="1">'Rate Analysis'!$A$1:$R$894</definedName>
    <definedName name="_xlnm.Print_Area" localSheetId="3">'Client BOQ'!$A$1:$F$270</definedName>
    <definedName name="_xlnm.Print_Area" localSheetId="16">'Submission Client BOQ'!$A$1:$F$270</definedName>
    <definedName name="_xlnm.Print_Titles" localSheetId="3">'Client BOQ'!$1:$3</definedName>
    <definedName name="_xlnm.Print_Titles" localSheetId="16">'Submission Client BOQ'!$1:$3</definedName>
  </definedNames>
  <calcPr calcId="191029"/>
  <pivotCaches>
    <pivotCache cacheId="1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" i="5" l="1"/>
  <c r="N90" i="5"/>
  <c r="N89" i="5"/>
  <c r="N88" i="5"/>
  <c r="N87" i="5"/>
  <c r="N86" i="5"/>
  <c r="N85" i="5"/>
  <c r="N82" i="5"/>
  <c r="N81" i="5"/>
  <c r="N80" i="5"/>
  <c r="N79" i="5"/>
  <c r="N78" i="5"/>
  <c r="N77" i="5"/>
  <c r="N76" i="5"/>
  <c r="N75" i="5"/>
  <c r="N74" i="5"/>
  <c r="N73" i="5"/>
  <c r="N72" i="5"/>
  <c r="N69" i="5"/>
  <c r="N68" i="5"/>
  <c r="N67" i="5"/>
  <c r="N66" i="5"/>
  <c r="N65" i="5"/>
  <c r="N64" i="5"/>
  <c r="N63" i="5"/>
  <c r="N62" i="5"/>
  <c r="N61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0" i="5"/>
  <c r="N19" i="5"/>
  <c r="N18" i="5"/>
  <c r="N17" i="5"/>
  <c r="N16" i="5"/>
  <c r="N15" i="5"/>
  <c r="N14" i="5"/>
  <c r="N13" i="5"/>
  <c r="N12" i="5"/>
  <c r="Q8" i="5"/>
  <c r="G15" i="16"/>
  <c r="G13" i="16"/>
  <c r="G5" i="16"/>
  <c r="F20" i="16"/>
  <c r="F15" i="16"/>
  <c r="F16" i="16"/>
  <c r="F18" i="16"/>
  <c r="F17" i="16"/>
  <c r="F19" i="16"/>
  <c r="F4" i="16"/>
  <c r="F3" i="16"/>
  <c r="F2" i="16"/>
  <c r="F13" i="16"/>
  <c r="F14" i="16"/>
  <c r="E13" i="16"/>
  <c r="F9" i="16"/>
  <c r="F5" i="16"/>
  <c r="E4" i="16"/>
  <c r="E3" i="16"/>
  <c r="E2" i="16"/>
  <c r="G2" i="16"/>
  <c r="G21" i="16" l="1"/>
  <c r="F21" i="16"/>
  <c r="N34" i="12"/>
  <c r="N33" i="12"/>
  <c r="O213" i="11" s="1"/>
  <c r="N32" i="12"/>
  <c r="N31" i="12"/>
  <c r="N30" i="12"/>
  <c r="N29" i="12"/>
  <c r="O155" i="11" s="1"/>
  <c r="N28" i="12"/>
  <c r="N27" i="12"/>
  <c r="N26" i="12"/>
  <c r="N25" i="12"/>
  <c r="N24" i="12"/>
  <c r="L13" i="15"/>
  <c r="E13" i="15"/>
  <c r="C13" i="15"/>
  <c r="L12" i="15"/>
  <c r="E12" i="15"/>
  <c r="C12" i="15"/>
  <c r="L11" i="15"/>
  <c r="E11" i="15"/>
  <c r="C11" i="15"/>
  <c r="L10" i="15"/>
  <c r="E10" i="15"/>
  <c r="C10" i="15"/>
  <c r="L9" i="15"/>
  <c r="E9" i="15"/>
  <c r="C9" i="15"/>
  <c r="L8" i="15"/>
  <c r="E8" i="15"/>
  <c r="C8" i="15"/>
  <c r="L7" i="15"/>
  <c r="E7" i="15"/>
  <c r="C7" i="15"/>
  <c r="L6" i="15"/>
  <c r="E6" i="15"/>
  <c r="C6" i="15"/>
  <c r="L5" i="15"/>
  <c r="E5" i="15"/>
  <c r="C5" i="15"/>
  <c r="L4" i="15"/>
  <c r="E4" i="15"/>
  <c r="C4" i="15"/>
  <c r="L3" i="15"/>
  <c r="E3" i="15"/>
  <c r="C3" i="15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O860" i="11" s="1"/>
  <c r="N8" i="12"/>
  <c r="N7" i="12"/>
  <c r="N6" i="12"/>
  <c r="N5" i="12"/>
  <c r="O602" i="11" s="1"/>
  <c r="N4" i="12"/>
  <c r="N3" i="12"/>
  <c r="N2" i="12"/>
  <c r="E24" i="14"/>
  <c r="C24" i="14"/>
  <c r="E23" i="14"/>
  <c r="C23" i="14"/>
  <c r="E22" i="14"/>
  <c r="C22" i="14"/>
  <c r="E21" i="14"/>
  <c r="C21" i="14"/>
  <c r="E20" i="14"/>
  <c r="C20" i="14"/>
  <c r="E19" i="14"/>
  <c r="C19" i="14"/>
  <c r="E18" i="14"/>
  <c r="C18" i="14"/>
  <c r="E17" i="14"/>
  <c r="C17" i="14"/>
  <c r="E16" i="14"/>
  <c r="C16" i="14"/>
  <c r="E15" i="14"/>
  <c r="C15" i="14"/>
  <c r="E14" i="14"/>
  <c r="C14" i="14"/>
  <c r="E13" i="14"/>
  <c r="C13" i="14"/>
  <c r="E12" i="14"/>
  <c r="C12" i="14"/>
  <c r="E11" i="14"/>
  <c r="C11" i="14"/>
  <c r="E10" i="14"/>
  <c r="C10" i="14"/>
  <c r="E9" i="14"/>
  <c r="C9" i="14"/>
  <c r="E8" i="14"/>
  <c r="C8" i="14"/>
  <c r="E7" i="14"/>
  <c r="C7" i="14"/>
  <c r="E6" i="14"/>
  <c r="C6" i="14"/>
  <c r="E5" i="14"/>
  <c r="C5" i="14"/>
  <c r="E4" i="14"/>
  <c r="C4" i="14"/>
  <c r="C3" i="14"/>
  <c r="E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3" i="14"/>
  <c r="A894" i="11"/>
  <c r="O892" i="11"/>
  <c r="L892" i="11"/>
  <c r="K892" i="11"/>
  <c r="J892" i="11"/>
  <c r="C892" i="11"/>
  <c r="B889" i="11"/>
  <c r="B887" i="11"/>
  <c r="N65" i="12"/>
  <c r="E53" i="13"/>
  <c r="D53" i="13"/>
  <c r="G53" i="13" s="1"/>
  <c r="G55" i="13" s="1"/>
  <c r="C53" i="13"/>
  <c r="E46" i="13"/>
  <c r="D46" i="13"/>
  <c r="G46" i="13" s="1"/>
  <c r="C46" i="13"/>
  <c r="E45" i="13"/>
  <c r="D45" i="13"/>
  <c r="G45" i="13" s="1"/>
  <c r="C45" i="13"/>
  <c r="E44" i="13"/>
  <c r="D44" i="13"/>
  <c r="G44" i="13" s="1"/>
  <c r="C44" i="13"/>
  <c r="E37" i="13"/>
  <c r="D37" i="13"/>
  <c r="I37" i="13" s="1"/>
  <c r="C37" i="13"/>
  <c r="E30" i="13"/>
  <c r="D30" i="13"/>
  <c r="G30" i="13" s="1"/>
  <c r="C30" i="13"/>
  <c r="E29" i="13"/>
  <c r="D29" i="13"/>
  <c r="K29" i="13" s="1"/>
  <c r="C29" i="13"/>
  <c r="E28" i="13"/>
  <c r="D28" i="13"/>
  <c r="K28" i="13" s="1"/>
  <c r="C28" i="13"/>
  <c r="E21" i="13"/>
  <c r="D21" i="13"/>
  <c r="K21" i="13" s="1"/>
  <c r="C21" i="13"/>
  <c r="E20" i="13"/>
  <c r="D20" i="13"/>
  <c r="G20" i="13" s="1"/>
  <c r="C20" i="13"/>
  <c r="E19" i="13"/>
  <c r="D19" i="13"/>
  <c r="G19" i="13" s="1"/>
  <c r="C19" i="13"/>
  <c r="E12" i="13"/>
  <c r="D12" i="13"/>
  <c r="G12" i="13" s="1"/>
  <c r="C12" i="13"/>
  <c r="E11" i="13"/>
  <c r="D11" i="13"/>
  <c r="G11" i="13" s="1"/>
  <c r="C11" i="13"/>
  <c r="E10" i="13"/>
  <c r="D10" i="13"/>
  <c r="K10" i="13" s="1"/>
  <c r="C10" i="13"/>
  <c r="E3" i="13"/>
  <c r="D3" i="13"/>
  <c r="I3" i="13" s="1"/>
  <c r="I5" i="13" s="1"/>
  <c r="C3" i="13"/>
  <c r="L53" i="13"/>
  <c r="A883" i="11"/>
  <c r="O881" i="11"/>
  <c r="L881" i="11"/>
  <c r="K881" i="11"/>
  <c r="J881" i="11"/>
  <c r="C881" i="11"/>
  <c r="O880" i="11"/>
  <c r="L880" i="11"/>
  <c r="K880" i="11"/>
  <c r="J880" i="11"/>
  <c r="C880" i="11"/>
  <c r="O879" i="11"/>
  <c r="L879" i="11"/>
  <c r="K879" i="11"/>
  <c r="J879" i="11"/>
  <c r="C879" i="11"/>
  <c r="O878" i="11"/>
  <c r="L878" i="11"/>
  <c r="K878" i="11"/>
  <c r="J878" i="11"/>
  <c r="C878" i="11"/>
  <c r="O877" i="11"/>
  <c r="L877" i="11"/>
  <c r="K877" i="11"/>
  <c r="J877" i="11"/>
  <c r="C877" i="11"/>
  <c r="O876" i="11"/>
  <c r="L876" i="11"/>
  <c r="K876" i="11"/>
  <c r="J876" i="11"/>
  <c r="C876" i="11"/>
  <c r="B873" i="11"/>
  <c r="B871" i="11"/>
  <c r="L860" i="11"/>
  <c r="K860" i="11"/>
  <c r="J860" i="11"/>
  <c r="C860" i="11"/>
  <c r="A867" i="11"/>
  <c r="O865" i="11"/>
  <c r="L865" i="11"/>
  <c r="K865" i="11"/>
  <c r="J865" i="11"/>
  <c r="C865" i="11"/>
  <c r="O864" i="11"/>
  <c r="L864" i="11"/>
  <c r="K864" i="11"/>
  <c r="J864" i="11"/>
  <c r="C864" i="11"/>
  <c r="O863" i="11"/>
  <c r="L863" i="11"/>
  <c r="K863" i="11"/>
  <c r="J863" i="11"/>
  <c r="C863" i="11"/>
  <c r="O862" i="11"/>
  <c r="L862" i="11"/>
  <c r="K862" i="11"/>
  <c r="J862" i="11"/>
  <c r="C862" i="11"/>
  <c r="O861" i="11"/>
  <c r="L861" i="11"/>
  <c r="K861" i="11"/>
  <c r="J861" i="11"/>
  <c r="C861" i="11"/>
  <c r="B857" i="11"/>
  <c r="B855" i="11"/>
  <c r="A851" i="11"/>
  <c r="O849" i="11"/>
  <c r="L849" i="11"/>
  <c r="K849" i="11"/>
  <c r="J849" i="11"/>
  <c r="C849" i="11"/>
  <c r="B846" i="11"/>
  <c r="B844" i="11"/>
  <c r="A840" i="11"/>
  <c r="O838" i="11"/>
  <c r="L838" i="11"/>
  <c r="K838" i="11"/>
  <c r="J838" i="11"/>
  <c r="C838" i="11"/>
  <c r="B835" i="11"/>
  <c r="B833" i="11"/>
  <c r="A829" i="11"/>
  <c r="L827" i="11"/>
  <c r="K827" i="11"/>
  <c r="J827" i="11"/>
  <c r="C827" i="11"/>
  <c r="B824" i="11"/>
  <c r="B822" i="11"/>
  <c r="A818" i="11"/>
  <c r="L816" i="11"/>
  <c r="K816" i="11"/>
  <c r="J816" i="11"/>
  <c r="C816" i="11"/>
  <c r="B813" i="11"/>
  <c r="B811" i="11"/>
  <c r="A807" i="11"/>
  <c r="L805" i="11"/>
  <c r="K805" i="11"/>
  <c r="J805" i="11"/>
  <c r="C805" i="11"/>
  <c r="B802" i="11"/>
  <c r="B800" i="11"/>
  <c r="A796" i="11"/>
  <c r="L794" i="11"/>
  <c r="K794" i="11"/>
  <c r="J794" i="11"/>
  <c r="C794" i="11"/>
  <c r="B791" i="11"/>
  <c r="B789" i="11"/>
  <c r="A785" i="11"/>
  <c r="L783" i="11"/>
  <c r="K783" i="11"/>
  <c r="J783" i="11"/>
  <c r="C783" i="11"/>
  <c r="B780" i="11"/>
  <c r="B778" i="11"/>
  <c r="A774" i="11"/>
  <c r="L772" i="11"/>
  <c r="K772" i="11"/>
  <c r="J772" i="11"/>
  <c r="C772" i="11"/>
  <c r="B769" i="11"/>
  <c r="B767" i="11"/>
  <c r="A763" i="11"/>
  <c r="L761" i="11"/>
  <c r="K761" i="11"/>
  <c r="J761" i="11"/>
  <c r="C761" i="11"/>
  <c r="B758" i="11"/>
  <c r="B756" i="11"/>
  <c r="A752" i="11"/>
  <c r="L750" i="11"/>
  <c r="K750" i="11"/>
  <c r="J750" i="11"/>
  <c r="C750" i="11"/>
  <c r="B747" i="11"/>
  <c r="B745" i="11"/>
  <c r="A741" i="11"/>
  <c r="O739" i="11"/>
  <c r="L739" i="11"/>
  <c r="K739" i="11"/>
  <c r="J739" i="11"/>
  <c r="C739" i="11"/>
  <c r="B736" i="11"/>
  <c r="B734" i="11"/>
  <c r="A730" i="11"/>
  <c r="O728" i="11"/>
  <c r="L728" i="11"/>
  <c r="K728" i="11"/>
  <c r="J728" i="11"/>
  <c r="C728" i="11"/>
  <c r="B725" i="11"/>
  <c r="B723" i="11"/>
  <c r="A719" i="11"/>
  <c r="O717" i="11"/>
  <c r="L717" i="11"/>
  <c r="K717" i="11"/>
  <c r="J717" i="11"/>
  <c r="C717" i="11"/>
  <c r="B714" i="11"/>
  <c r="B712" i="11"/>
  <c r="L706" i="11"/>
  <c r="K706" i="11"/>
  <c r="C706" i="11"/>
  <c r="A708" i="11"/>
  <c r="J706" i="11"/>
  <c r="B703" i="11"/>
  <c r="B701" i="11"/>
  <c r="N64" i="12"/>
  <c r="N63" i="12"/>
  <c r="N62" i="12"/>
  <c r="O827" i="11" s="1"/>
  <c r="N61" i="12"/>
  <c r="O816" i="11" s="1"/>
  <c r="N60" i="12"/>
  <c r="O805" i="11" s="1"/>
  <c r="N59" i="12"/>
  <c r="O794" i="11" s="1"/>
  <c r="N58" i="12"/>
  <c r="O783" i="11" s="1"/>
  <c r="N57" i="12"/>
  <c r="O772" i="11" s="1"/>
  <c r="N56" i="12"/>
  <c r="O761" i="11" s="1"/>
  <c r="N55" i="12"/>
  <c r="O750" i="11" s="1"/>
  <c r="N54" i="12"/>
  <c r="N53" i="12"/>
  <c r="N52" i="12"/>
  <c r="N51" i="12"/>
  <c r="O706" i="11" s="1"/>
  <c r="A697" i="11"/>
  <c r="O695" i="11"/>
  <c r="L695" i="11"/>
  <c r="K695" i="11"/>
  <c r="J695" i="11"/>
  <c r="C695" i="11"/>
  <c r="O694" i="11"/>
  <c r="L694" i="11"/>
  <c r="K694" i="11"/>
  <c r="J694" i="11"/>
  <c r="C694" i="11"/>
  <c r="O693" i="11"/>
  <c r="L693" i="11"/>
  <c r="K693" i="11"/>
  <c r="J693" i="11"/>
  <c r="C693" i="11"/>
  <c r="O692" i="11"/>
  <c r="L692" i="11"/>
  <c r="K692" i="11"/>
  <c r="J692" i="11"/>
  <c r="C692" i="11"/>
  <c r="O691" i="11"/>
  <c r="L691" i="11"/>
  <c r="K691" i="11"/>
  <c r="J691" i="11"/>
  <c r="C691" i="11"/>
  <c r="B688" i="11"/>
  <c r="B686" i="11"/>
  <c r="A682" i="11"/>
  <c r="O680" i="11"/>
  <c r="L680" i="11"/>
  <c r="K680" i="11"/>
  <c r="J680" i="11"/>
  <c r="C680" i="11"/>
  <c r="O679" i="11"/>
  <c r="L679" i="11"/>
  <c r="K679" i="11"/>
  <c r="J679" i="11"/>
  <c r="C679" i="11"/>
  <c r="O678" i="11"/>
  <c r="L678" i="11"/>
  <c r="K678" i="11"/>
  <c r="J678" i="11"/>
  <c r="C678" i="11"/>
  <c r="O677" i="11"/>
  <c r="L677" i="11"/>
  <c r="K677" i="11"/>
  <c r="J677" i="11"/>
  <c r="C677" i="11"/>
  <c r="O676" i="11"/>
  <c r="L676" i="11"/>
  <c r="K676" i="11"/>
  <c r="J676" i="11"/>
  <c r="C676" i="11"/>
  <c r="B673" i="11"/>
  <c r="B671" i="11"/>
  <c r="A667" i="11"/>
  <c r="O665" i="11"/>
  <c r="L665" i="11"/>
  <c r="K665" i="11"/>
  <c r="J665" i="11"/>
  <c r="C665" i="11"/>
  <c r="O664" i="11"/>
  <c r="L664" i="11"/>
  <c r="K664" i="11"/>
  <c r="J664" i="11"/>
  <c r="C664" i="11"/>
  <c r="O663" i="11"/>
  <c r="L663" i="11"/>
  <c r="K663" i="11"/>
  <c r="J663" i="11"/>
  <c r="C663" i="11"/>
  <c r="O662" i="11"/>
  <c r="L662" i="11"/>
  <c r="K662" i="11"/>
  <c r="J662" i="11"/>
  <c r="C662" i="11"/>
  <c r="O661" i="11"/>
  <c r="L661" i="11"/>
  <c r="K661" i="11"/>
  <c r="J661" i="11"/>
  <c r="C661" i="11"/>
  <c r="B658" i="11"/>
  <c r="B656" i="11"/>
  <c r="A652" i="11"/>
  <c r="O650" i="11"/>
  <c r="L650" i="11"/>
  <c r="K650" i="11"/>
  <c r="J650" i="11"/>
  <c r="C650" i="11"/>
  <c r="O649" i="11"/>
  <c r="L649" i="11"/>
  <c r="K649" i="11"/>
  <c r="J649" i="11"/>
  <c r="C649" i="11"/>
  <c r="O648" i="11"/>
  <c r="L648" i="11"/>
  <c r="K648" i="11"/>
  <c r="J648" i="11"/>
  <c r="C648" i="11"/>
  <c r="O647" i="11"/>
  <c r="L647" i="11"/>
  <c r="K647" i="11"/>
  <c r="J647" i="11"/>
  <c r="C647" i="11"/>
  <c r="O646" i="11"/>
  <c r="L646" i="11"/>
  <c r="K646" i="11"/>
  <c r="J646" i="11"/>
  <c r="C646" i="11"/>
  <c r="B643" i="11"/>
  <c r="B641" i="11"/>
  <c r="A637" i="11"/>
  <c r="O635" i="11"/>
  <c r="L635" i="11"/>
  <c r="K635" i="11"/>
  <c r="J635" i="11"/>
  <c r="C635" i="11"/>
  <c r="O634" i="11"/>
  <c r="L634" i="11"/>
  <c r="K634" i="11"/>
  <c r="J634" i="11"/>
  <c r="C634" i="11"/>
  <c r="O633" i="11"/>
  <c r="L633" i="11"/>
  <c r="K633" i="11"/>
  <c r="J633" i="11"/>
  <c r="C633" i="11"/>
  <c r="O632" i="11"/>
  <c r="L632" i="11"/>
  <c r="K632" i="11"/>
  <c r="J632" i="11"/>
  <c r="C632" i="11"/>
  <c r="O631" i="11"/>
  <c r="L631" i="11"/>
  <c r="K631" i="11"/>
  <c r="J631" i="11"/>
  <c r="C631" i="11"/>
  <c r="B628" i="11"/>
  <c r="B626" i="11"/>
  <c r="L45" i="13"/>
  <c r="L46" i="13"/>
  <c r="L44" i="13"/>
  <c r="L37" i="13"/>
  <c r="L30" i="13"/>
  <c r="L29" i="13"/>
  <c r="L28" i="13"/>
  <c r="L21" i="13"/>
  <c r="L20" i="13"/>
  <c r="L19" i="13"/>
  <c r="L11" i="13"/>
  <c r="L12" i="13"/>
  <c r="L10" i="13"/>
  <c r="L3" i="13"/>
  <c r="A622" i="11"/>
  <c r="O620" i="11"/>
  <c r="L620" i="11"/>
  <c r="K620" i="11"/>
  <c r="J620" i="11"/>
  <c r="C620" i="11"/>
  <c r="O619" i="11"/>
  <c r="L619" i="11"/>
  <c r="K619" i="11"/>
  <c r="J619" i="11"/>
  <c r="C619" i="11"/>
  <c r="O618" i="11"/>
  <c r="L618" i="11"/>
  <c r="K618" i="11"/>
  <c r="J618" i="11"/>
  <c r="C618" i="11"/>
  <c r="O617" i="11"/>
  <c r="L617" i="11"/>
  <c r="K617" i="11"/>
  <c r="J617" i="11"/>
  <c r="C617" i="11"/>
  <c r="O616" i="11"/>
  <c r="L616" i="11"/>
  <c r="K616" i="11"/>
  <c r="J616" i="11"/>
  <c r="C616" i="11"/>
  <c r="B613" i="11"/>
  <c r="B611" i="11"/>
  <c r="A607" i="11"/>
  <c r="O605" i="11"/>
  <c r="L605" i="11"/>
  <c r="K605" i="11"/>
  <c r="J605" i="11"/>
  <c r="C605" i="11"/>
  <c r="O604" i="11"/>
  <c r="L604" i="11"/>
  <c r="K604" i="11"/>
  <c r="J604" i="11"/>
  <c r="C604" i="11"/>
  <c r="O603" i="11"/>
  <c r="L603" i="11"/>
  <c r="K603" i="11"/>
  <c r="J603" i="11"/>
  <c r="C603" i="11"/>
  <c r="L602" i="11"/>
  <c r="K602" i="11"/>
  <c r="J602" i="11"/>
  <c r="C602" i="11"/>
  <c r="O601" i="11"/>
  <c r="L601" i="11"/>
  <c r="K601" i="11"/>
  <c r="J601" i="11"/>
  <c r="C601" i="11"/>
  <c r="B598" i="11"/>
  <c r="B596" i="11"/>
  <c r="A592" i="11"/>
  <c r="O590" i="11"/>
  <c r="L590" i="11"/>
  <c r="K590" i="11"/>
  <c r="J590" i="11"/>
  <c r="C590" i="11"/>
  <c r="O589" i="11"/>
  <c r="L589" i="11"/>
  <c r="K589" i="11"/>
  <c r="J589" i="11"/>
  <c r="C589" i="11"/>
  <c r="O588" i="11"/>
  <c r="L588" i="11"/>
  <c r="K588" i="11"/>
  <c r="J588" i="11"/>
  <c r="C588" i="11"/>
  <c r="O587" i="11"/>
  <c r="L587" i="11"/>
  <c r="K587" i="11"/>
  <c r="J587" i="11"/>
  <c r="C587" i="11"/>
  <c r="O586" i="11"/>
  <c r="L586" i="11"/>
  <c r="K586" i="11"/>
  <c r="J586" i="11"/>
  <c r="C586" i="11"/>
  <c r="B583" i="11"/>
  <c r="B581" i="11"/>
  <c r="C567" i="11"/>
  <c r="F567" i="11"/>
  <c r="J567" i="11" s="1"/>
  <c r="H567" i="11"/>
  <c r="K567" i="11"/>
  <c r="L567" i="11"/>
  <c r="O567" i="11"/>
  <c r="A577" i="11"/>
  <c r="O575" i="11"/>
  <c r="L575" i="11"/>
  <c r="K575" i="11"/>
  <c r="J575" i="11"/>
  <c r="C575" i="11"/>
  <c r="O574" i="11"/>
  <c r="L574" i="11"/>
  <c r="K574" i="11"/>
  <c r="J574" i="11"/>
  <c r="C574" i="11"/>
  <c r="O573" i="11"/>
  <c r="L573" i="11"/>
  <c r="K573" i="11"/>
  <c r="H573" i="11"/>
  <c r="G573" i="11"/>
  <c r="C573" i="11"/>
  <c r="O572" i="11"/>
  <c r="L572" i="11"/>
  <c r="K572" i="11"/>
  <c r="H572" i="11"/>
  <c r="G572" i="11"/>
  <c r="C572" i="11"/>
  <c r="O571" i="11"/>
  <c r="L571" i="11"/>
  <c r="K571" i="11"/>
  <c r="H571" i="11"/>
  <c r="G571" i="11"/>
  <c r="C571" i="11"/>
  <c r="O570" i="11"/>
  <c r="L570" i="11"/>
  <c r="K570" i="11"/>
  <c r="H570" i="11"/>
  <c r="G570" i="11"/>
  <c r="J570" i="11" s="1"/>
  <c r="C570" i="11"/>
  <c r="O569" i="11"/>
  <c r="L569" i="11"/>
  <c r="K569" i="11"/>
  <c r="J569" i="11"/>
  <c r="C569" i="11"/>
  <c r="O568" i="11"/>
  <c r="L568" i="11"/>
  <c r="K568" i="11"/>
  <c r="J568" i="11"/>
  <c r="C568" i="11"/>
  <c r="O566" i="11"/>
  <c r="L566" i="11"/>
  <c r="K566" i="11"/>
  <c r="H566" i="11"/>
  <c r="F566" i="11"/>
  <c r="C566" i="11"/>
  <c r="B563" i="11"/>
  <c r="B561" i="11"/>
  <c r="H553" i="11"/>
  <c r="G553" i="11"/>
  <c r="H552" i="11"/>
  <c r="G552" i="11"/>
  <c r="H551" i="11"/>
  <c r="G551" i="11"/>
  <c r="H550" i="11"/>
  <c r="G550" i="11"/>
  <c r="J550" i="11" s="1"/>
  <c r="H547" i="11"/>
  <c r="J547" i="11" s="1"/>
  <c r="F547" i="11"/>
  <c r="J549" i="11"/>
  <c r="A557" i="11"/>
  <c r="O555" i="11"/>
  <c r="L555" i="11"/>
  <c r="K555" i="11"/>
  <c r="J555" i="11"/>
  <c r="C555" i="11"/>
  <c r="O554" i="11"/>
  <c r="L554" i="11"/>
  <c r="K554" i="11"/>
  <c r="J554" i="11"/>
  <c r="C554" i="11"/>
  <c r="O553" i="11"/>
  <c r="L553" i="11"/>
  <c r="K553" i="11"/>
  <c r="C553" i="11"/>
  <c r="O552" i="11"/>
  <c r="L552" i="11"/>
  <c r="K552" i="11"/>
  <c r="C552" i="11"/>
  <c r="O551" i="11"/>
  <c r="L551" i="11"/>
  <c r="K551" i="11"/>
  <c r="C551" i="11"/>
  <c r="O550" i="11"/>
  <c r="L550" i="11"/>
  <c r="K550" i="11"/>
  <c r="C550" i="11"/>
  <c r="O549" i="11"/>
  <c r="L549" i="11"/>
  <c r="K549" i="11"/>
  <c r="C549" i="11"/>
  <c r="O548" i="11"/>
  <c r="L548" i="11"/>
  <c r="K548" i="11"/>
  <c r="J548" i="11"/>
  <c r="C548" i="11"/>
  <c r="O547" i="11"/>
  <c r="L547" i="11"/>
  <c r="K547" i="11"/>
  <c r="C547" i="11"/>
  <c r="B544" i="11"/>
  <c r="B542" i="11"/>
  <c r="A538" i="11"/>
  <c r="O536" i="11"/>
  <c r="L536" i="11"/>
  <c r="K536" i="11"/>
  <c r="J536" i="11"/>
  <c r="C536" i="11"/>
  <c r="O535" i="11"/>
  <c r="L535" i="11"/>
  <c r="K535" i="11"/>
  <c r="J535" i="11"/>
  <c r="C535" i="11"/>
  <c r="O534" i="11"/>
  <c r="L534" i="11"/>
  <c r="K534" i="11"/>
  <c r="H534" i="11"/>
  <c r="G534" i="11"/>
  <c r="C534" i="11"/>
  <c r="O533" i="11"/>
  <c r="L533" i="11"/>
  <c r="K533" i="11"/>
  <c r="H533" i="11"/>
  <c r="G533" i="11"/>
  <c r="J533" i="11" s="1"/>
  <c r="C533" i="11"/>
  <c r="O532" i="11"/>
  <c r="L532" i="11"/>
  <c r="K532" i="11"/>
  <c r="H532" i="11"/>
  <c r="G532" i="11"/>
  <c r="J532" i="11" s="1"/>
  <c r="C532" i="11"/>
  <c r="O531" i="11"/>
  <c r="L531" i="11"/>
  <c r="K531" i="11"/>
  <c r="H531" i="11"/>
  <c r="G531" i="11"/>
  <c r="C531" i="11"/>
  <c r="O530" i="11"/>
  <c r="L530" i="11"/>
  <c r="K530" i="11"/>
  <c r="J530" i="11"/>
  <c r="C530" i="11"/>
  <c r="O529" i="11"/>
  <c r="L529" i="11"/>
  <c r="K529" i="11"/>
  <c r="J529" i="11"/>
  <c r="C529" i="11"/>
  <c r="O528" i="11"/>
  <c r="L528" i="11"/>
  <c r="K528" i="11"/>
  <c r="H528" i="11"/>
  <c r="F528" i="11"/>
  <c r="C528" i="11"/>
  <c r="B525" i="11"/>
  <c r="B523" i="11"/>
  <c r="C515" i="11"/>
  <c r="G515" i="11"/>
  <c r="H515" i="11"/>
  <c r="K515" i="11"/>
  <c r="L515" i="11"/>
  <c r="O515" i="11"/>
  <c r="C513" i="11"/>
  <c r="G513" i="11"/>
  <c r="H513" i="11"/>
  <c r="J513" i="11" s="1"/>
  <c r="K513" i="11"/>
  <c r="L513" i="11"/>
  <c r="O513" i="11"/>
  <c r="H509" i="11"/>
  <c r="F509" i="11"/>
  <c r="A519" i="11"/>
  <c r="O517" i="11"/>
  <c r="L517" i="11"/>
  <c r="K517" i="11"/>
  <c r="J517" i="11"/>
  <c r="C517" i="11"/>
  <c r="O516" i="11"/>
  <c r="L516" i="11"/>
  <c r="K516" i="11"/>
  <c r="J516" i="11"/>
  <c r="C516" i="11"/>
  <c r="O514" i="11"/>
  <c r="L514" i="11"/>
  <c r="K514" i="11"/>
  <c r="H514" i="11"/>
  <c r="G514" i="11"/>
  <c r="C514" i="11"/>
  <c r="O512" i="11"/>
  <c r="L512" i="11"/>
  <c r="K512" i="11"/>
  <c r="H512" i="11"/>
  <c r="G512" i="11"/>
  <c r="C512" i="11"/>
  <c r="O511" i="11"/>
  <c r="L511" i="11"/>
  <c r="K511" i="11"/>
  <c r="J511" i="11"/>
  <c r="C511" i="11"/>
  <c r="O510" i="11"/>
  <c r="L510" i="11"/>
  <c r="K510" i="11"/>
  <c r="J510" i="11"/>
  <c r="C510" i="11"/>
  <c r="O509" i="11"/>
  <c r="L509" i="11"/>
  <c r="K509" i="11"/>
  <c r="C509" i="11"/>
  <c r="B506" i="11"/>
  <c r="B504" i="11"/>
  <c r="A500" i="11"/>
  <c r="O498" i="11"/>
  <c r="L498" i="11"/>
  <c r="K498" i="11"/>
  <c r="J498" i="11"/>
  <c r="C498" i="11"/>
  <c r="O497" i="11"/>
  <c r="L497" i="11"/>
  <c r="K497" i="11"/>
  <c r="J497" i="11"/>
  <c r="C497" i="11"/>
  <c r="O496" i="11"/>
  <c r="L496" i="11"/>
  <c r="K496" i="11"/>
  <c r="H496" i="11"/>
  <c r="G496" i="11"/>
  <c r="C496" i="11"/>
  <c r="O495" i="11"/>
  <c r="L495" i="11"/>
  <c r="K495" i="11"/>
  <c r="H495" i="11"/>
  <c r="G495" i="11"/>
  <c r="C495" i="11"/>
  <c r="O494" i="11"/>
  <c r="L494" i="11"/>
  <c r="K494" i="11"/>
  <c r="J494" i="11"/>
  <c r="C494" i="11"/>
  <c r="O493" i="11"/>
  <c r="L493" i="11"/>
  <c r="K493" i="11"/>
  <c r="J493" i="11"/>
  <c r="C493" i="11"/>
  <c r="O492" i="11"/>
  <c r="L492" i="11"/>
  <c r="K492" i="11"/>
  <c r="H492" i="11"/>
  <c r="F492" i="11"/>
  <c r="C492" i="11"/>
  <c r="B489" i="11"/>
  <c r="B487" i="11"/>
  <c r="H479" i="11"/>
  <c r="G479" i="11"/>
  <c r="J479" i="11" s="1"/>
  <c r="C479" i="11"/>
  <c r="K479" i="11"/>
  <c r="L479" i="11"/>
  <c r="O479" i="11"/>
  <c r="H478" i="11"/>
  <c r="G478" i="11"/>
  <c r="C477" i="11"/>
  <c r="J477" i="11"/>
  <c r="K477" i="11"/>
  <c r="L477" i="11"/>
  <c r="O477" i="11"/>
  <c r="H475" i="11"/>
  <c r="F475" i="11"/>
  <c r="A483" i="11"/>
  <c r="O481" i="11"/>
  <c r="L481" i="11"/>
  <c r="K481" i="11"/>
  <c r="J481" i="11"/>
  <c r="C481" i="11"/>
  <c r="O480" i="11"/>
  <c r="L480" i="11"/>
  <c r="K480" i="11"/>
  <c r="J480" i="11"/>
  <c r="C480" i="11"/>
  <c r="O478" i="11"/>
  <c r="L478" i="11"/>
  <c r="K478" i="11"/>
  <c r="C478" i="11"/>
  <c r="O476" i="11"/>
  <c r="L476" i="11"/>
  <c r="K476" i="11"/>
  <c r="J476" i="11"/>
  <c r="C476" i="11"/>
  <c r="O475" i="11"/>
  <c r="L475" i="11"/>
  <c r="K475" i="11"/>
  <c r="C475" i="11"/>
  <c r="B472" i="11"/>
  <c r="B470" i="11"/>
  <c r="A466" i="11"/>
  <c r="O464" i="11"/>
  <c r="L464" i="11"/>
  <c r="K464" i="11"/>
  <c r="J464" i="11"/>
  <c r="C464" i="11"/>
  <c r="O463" i="11"/>
  <c r="L463" i="11"/>
  <c r="K463" i="11"/>
  <c r="J463" i="11"/>
  <c r="C463" i="11"/>
  <c r="O462" i="11"/>
  <c r="L462" i="11"/>
  <c r="K462" i="11"/>
  <c r="H462" i="11"/>
  <c r="G462" i="11"/>
  <c r="C462" i="11"/>
  <c r="O461" i="11"/>
  <c r="L461" i="11"/>
  <c r="K461" i="11"/>
  <c r="J461" i="11"/>
  <c r="C461" i="11"/>
  <c r="O460" i="11"/>
  <c r="L460" i="11"/>
  <c r="K460" i="11"/>
  <c r="J460" i="11"/>
  <c r="C460" i="11"/>
  <c r="B457" i="11"/>
  <c r="B455" i="11"/>
  <c r="G446" i="11"/>
  <c r="H446" i="11"/>
  <c r="A451" i="11"/>
  <c r="O449" i="11"/>
  <c r="L449" i="11"/>
  <c r="K449" i="11"/>
  <c r="J449" i="11"/>
  <c r="C449" i="11"/>
  <c r="L448" i="11"/>
  <c r="K448" i="11"/>
  <c r="J448" i="11"/>
  <c r="C448" i="11"/>
  <c r="O447" i="11"/>
  <c r="L447" i="11"/>
  <c r="K447" i="11"/>
  <c r="H447" i="11"/>
  <c r="G447" i="11"/>
  <c r="C447" i="11"/>
  <c r="O446" i="11"/>
  <c r="L446" i="11"/>
  <c r="K446" i="11"/>
  <c r="C446" i="11"/>
  <c r="O445" i="11"/>
  <c r="L445" i="11"/>
  <c r="K445" i="11"/>
  <c r="J445" i="11"/>
  <c r="C445" i="11"/>
  <c r="O444" i="11"/>
  <c r="L444" i="11"/>
  <c r="K444" i="11"/>
  <c r="J444" i="11"/>
  <c r="C444" i="11"/>
  <c r="O443" i="11"/>
  <c r="L443" i="11"/>
  <c r="K443" i="11"/>
  <c r="J443" i="11"/>
  <c r="C443" i="11"/>
  <c r="B440" i="11"/>
  <c r="B438" i="11"/>
  <c r="C430" i="11"/>
  <c r="G430" i="11"/>
  <c r="H430" i="11"/>
  <c r="K430" i="11"/>
  <c r="L430" i="11"/>
  <c r="O430" i="11"/>
  <c r="A434" i="11"/>
  <c r="O432" i="11"/>
  <c r="L432" i="11"/>
  <c r="K432" i="11"/>
  <c r="J432" i="11"/>
  <c r="C432" i="11"/>
  <c r="O431" i="11"/>
  <c r="L431" i="11"/>
  <c r="K431" i="11"/>
  <c r="J431" i="11"/>
  <c r="C431" i="11"/>
  <c r="O429" i="11"/>
  <c r="L429" i="11"/>
  <c r="K429" i="11"/>
  <c r="H429" i="11"/>
  <c r="G429" i="11"/>
  <c r="C429" i="11"/>
  <c r="O428" i="11"/>
  <c r="L428" i="11"/>
  <c r="K428" i="11"/>
  <c r="J428" i="11"/>
  <c r="C428" i="11"/>
  <c r="O427" i="11"/>
  <c r="L427" i="11"/>
  <c r="K427" i="11"/>
  <c r="J427" i="11"/>
  <c r="C427" i="11"/>
  <c r="O426" i="11"/>
  <c r="L426" i="11"/>
  <c r="K426" i="11"/>
  <c r="J426" i="11"/>
  <c r="C426" i="11"/>
  <c r="B423" i="11"/>
  <c r="B421" i="11"/>
  <c r="A417" i="11"/>
  <c r="O415" i="11"/>
  <c r="L415" i="11"/>
  <c r="K415" i="11"/>
  <c r="J415" i="11"/>
  <c r="C415" i="11"/>
  <c r="L414" i="11"/>
  <c r="K414" i="11"/>
  <c r="J414" i="11"/>
  <c r="C414" i="11"/>
  <c r="O413" i="11"/>
  <c r="L413" i="11"/>
  <c r="K413" i="11"/>
  <c r="H413" i="11"/>
  <c r="G413" i="11"/>
  <c r="C413" i="11"/>
  <c r="O412" i="11"/>
  <c r="L412" i="11"/>
  <c r="K412" i="11"/>
  <c r="J412" i="11"/>
  <c r="C412" i="11"/>
  <c r="O411" i="11"/>
  <c r="L411" i="11"/>
  <c r="K411" i="11"/>
  <c r="J411" i="11"/>
  <c r="C411" i="11"/>
  <c r="O410" i="11"/>
  <c r="L410" i="11"/>
  <c r="K410" i="11"/>
  <c r="J410" i="11"/>
  <c r="C410" i="11"/>
  <c r="B407" i="11"/>
  <c r="B405" i="11"/>
  <c r="H397" i="11"/>
  <c r="G397" i="11"/>
  <c r="O399" i="11"/>
  <c r="O398" i="11"/>
  <c r="O397" i="11"/>
  <c r="O396" i="11"/>
  <c r="O395" i="11"/>
  <c r="O394" i="11"/>
  <c r="O384" i="11"/>
  <c r="O373" i="11"/>
  <c r="O362" i="11"/>
  <c r="O351" i="11"/>
  <c r="O340" i="11"/>
  <c r="O329" i="11"/>
  <c r="O318" i="11"/>
  <c r="O307" i="11"/>
  <c r="O296" i="11"/>
  <c r="O295" i="11"/>
  <c r="O284" i="11"/>
  <c r="O283" i="11"/>
  <c r="O272" i="11"/>
  <c r="O261" i="11"/>
  <c r="O260" i="11"/>
  <c r="O249" i="11"/>
  <c r="O248" i="11"/>
  <c r="O237" i="11"/>
  <c r="O236" i="11"/>
  <c r="O225" i="11"/>
  <c r="O224" i="11"/>
  <c r="O191" i="11"/>
  <c r="O190" i="11"/>
  <c r="O179" i="11"/>
  <c r="O178" i="11"/>
  <c r="O167" i="11"/>
  <c r="O166" i="11"/>
  <c r="O154" i="11"/>
  <c r="O143" i="11"/>
  <c r="O142" i="11"/>
  <c r="O131" i="11"/>
  <c r="O130" i="11"/>
  <c r="O119" i="11"/>
  <c r="O118" i="11"/>
  <c r="O107" i="11"/>
  <c r="O106" i="11"/>
  <c r="O95" i="11"/>
  <c r="O84" i="11"/>
  <c r="O73" i="11"/>
  <c r="O62" i="11"/>
  <c r="O51" i="11"/>
  <c r="O40" i="11"/>
  <c r="O29" i="11"/>
  <c r="O18" i="11"/>
  <c r="L399" i="11"/>
  <c r="L398" i="11"/>
  <c r="L397" i="11"/>
  <c r="L396" i="11"/>
  <c r="L395" i="11"/>
  <c r="L394" i="11"/>
  <c r="L384" i="11"/>
  <c r="L373" i="11"/>
  <c r="L362" i="11"/>
  <c r="L351" i="11"/>
  <c r="L340" i="11"/>
  <c r="L329" i="11"/>
  <c r="L318" i="11"/>
  <c r="L307" i="11"/>
  <c r="L296" i="11"/>
  <c r="L295" i="11"/>
  <c r="L284" i="11"/>
  <c r="L283" i="11"/>
  <c r="L272" i="11"/>
  <c r="L261" i="11"/>
  <c r="L260" i="11"/>
  <c r="L249" i="11"/>
  <c r="L248" i="11"/>
  <c r="L237" i="11"/>
  <c r="L236" i="11"/>
  <c r="L225" i="11"/>
  <c r="L224" i="11"/>
  <c r="L213" i="11"/>
  <c r="L202" i="11"/>
  <c r="L191" i="11"/>
  <c r="L190" i="11"/>
  <c r="L179" i="11"/>
  <c r="L178" i="11"/>
  <c r="L167" i="11"/>
  <c r="L166" i="11"/>
  <c r="L155" i="11"/>
  <c r="L154" i="11"/>
  <c r="L143" i="11"/>
  <c r="L142" i="11"/>
  <c r="L131" i="11"/>
  <c r="L130" i="11"/>
  <c r="L119" i="11"/>
  <c r="L118" i="11"/>
  <c r="L107" i="11"/>
  <c r="L106" i="11"/>
  <c r="L95" i="11"/>
  <c r="L84" i="11"/>
  <c r="L73" i="11"/>
  <c r="L62" i="11"/>
  <c r="L51" i="11"/>
  <c r="L40" i="11"/>
  <c r="L29" i="11"/>
  <c r="L18" i="11"/>
  <c r="O7" i="11"/>
  <c r="L7" i="11"/>
  <c r="K399" i="11"/>
  <c r="K398" i="11"/>
  <c r="K397" i="11"/>
  <c r="K396" i="11"/>
  <c r="K395" i="11"/>
  <c r="K394" i="11"/>
  <c r="K384" i="11"/>
  <c r="K373" i="11"/>
  <c r="K362" i="11"/>
  <c r="K351" i="11"/>
  <c r="K340" i="11"/>
  <c r="K329" i="11"/>
  <c r="K318" i="11"/>
  <c r="K307" i="11"/>
  <c r="K296" i="11"/>
  <c r="K295" i="11"/>
  <c r="K284" i="11"/>
  <c r="K283" i="11"/>
  <c r="K272" i="11"/>
  <c r="K261" i="11"/>
  <c r="K260" i="11"/>
  <c r="K249" i="11"/>
  <c r="K248" i="11"/>
  <c r="K237" i="11"/>
  <c r="K236" i="11"/>
  <c r="K225" i="11"/>
  <c r="K224" i="11"/>
  <c r="K213" i="11"/>
  <c r="K202" i="11"/>
  <c r="K191" i="11"/>
  <c r="K190" i="11"/>
  <c r="K179" i="11"/>
  <c r="K178" i="11"/>
  <c r="K167" i="11"/>
  <c r="K166" i="11"/>
  <c r="K155" i="11"/>
  <c r="K154" i="11"/>
  <c r="K143" i="11"/>
  <c r="K142" i="11"/>
  <c r="K131" i="11"/>
  <c r="K130" i="11"/>
  <c r="K119" i="11"/>
  <c r="K118" i="11"/>
  <c r="K107" i="11"/>
  <c r="K106" i="11"/>
  <c r="K95" i="11"/>
  <c r="K84" i="11"/>
  <c r="K73" i="11"/>
  <c r="K62" i="11"/>
  <c r="K51" i="11"/>
  <c r="K40" i="11"/>
  <c r="K29" i="11"/>
  <c r="K18" i="11"/>
  <c r="K7" i="11"/>
  <c r="C394" i="11"/>
  <c r="C396" i="11"/>
  <c r="J396" i="11"/>
  <c r="C399" i="11"/>
  <c r="C398" i="11"/>
  <c r="C397" i="11"/>
  <c r="C395" i="11"/>
  <c r="C384" i="11"/>
  <c r="C373" i="11"/>
  <c r="C362" i="11"/>
  <c r="C351" i="11"/>
  <c r="C340" i="11"/>
  <c r="C329" i="11"/>
  <c r="C318" i="11"/>
  <c r="C307" i="11"/>
  <c r="C296" i="11"/>
  <c r="C295" i="11"/>
  <c r="C284" i="11"/>
  <c r="C283" i="11"/>
  <c r="C272" i="11"/>
  <c r="C261" i="11"/>
  <c r="C260" i="11"/>
  <c r="C249" i="11"/>
  <c r="C248" i="11"/>
  <c r="C237" i="11"/>
  <c r="C236" i="11"/>
  <c r="C225" i="11"/>
  <c r="C224" i="11"/>
  <c r="C213" i="11"/>
  <c r="C202" i="11"/>
  <c r="C191" i="11"/>
  <c r="C190" i="11"/>
  <c r="C179" i="11"/>
  <c r="C178" i="11"/>
  <c r="C167" i="11"/>
  <c r="C166" i="11"/>
  <c r="C155" i="11"/>
  <c r="C154" i="11"/>
  <c r="C143" i="11"/>
  <c r="C142" i="11"/>
  <c r="C131" i="11"/>
  <c r="C130" i="11"/>
  <c r="C119" i="11"/>
  <c r="C118" i="11"/>
  <c r="C107" i="11"/>
  <c r="C106" i="11"/>
  <c r="C95" i="11"/>
  <c r="C84" i="11"/>
  <c r="C73" i="11"/>
  <c r="C62" i="11"/>
  <c r="C51" i="11"/>
  <c r="C40" i="11"/>
  <c r="C29" i="11"/>
  <c r="C18" i="11"/>
  <c r="C7" i="11"/>
  <c r="J395" i="11"/>
  <c r="J398" i="11"/>
  <c r="J399" i="11"/>
  <c r="A401" i="11"/>
  <c r="J394" i="11"/>
  <c r="B391" i="11"/>
  <c r="B389" i="11"/>
  <c r="A386" i="11"/>
  <c r="J384" i="11"/>
  <c r="B381" i="11"/>
  <c r="B379" i="11"/>
  <c r="A375" i="11"/>
  <c r="J373" i="11"/>
  <c r="B370" i="11"/>
  <c r="B368" i="11"/>
  <c r="A364" i="11"/>
  <c r="J362" i="11"/>
  <c r="B359" i="11"/>
  <c r="B357" i="11"/>
  <c r="A353" i="11"/>
  <c r="J351" i="11"/>
  <c r="B348" i="11"/>
  <c r="B346" i="11"/>
  <c r="A342" i="11"/>
  <c r="J340" i="11"/>
  <c r="B337" i="11"/>
  <c r="B335" i="11"/>
  <c r="A331" i="11"/>
  <c r="J329" i="11"/>
  <c r="B326" i="11"/>
  <c r="B324" i="11"/>
  <c r="B315" i="11"/>
  <c r="B304" i="11"/>
  <c r="B292" i="11"/>
  <c r="B280" i="11"/>
  <c r="B269" i="11"/>
  <c r="B257" i="11"/>
  <c r="B245" i="11"/>
  <c r="B233" i="11"/>
  <c r="B221" i="11"/>
  <c r="B210" i="11"/>
  <c r="B199" i="11"/>
  <c r="B187" i="11"/>
  <c r="B175" i="11"/>
  <c r="B163" i="11"/>
  <c r="B151" i="11"/>
  <c r="B139" i="11"/>
  <c r="B127" i="11"/>
  <c r="B115" i="11"/>
  <c r="B103" i="11"/>
  <c r="B92" i="11"/>
  <c r="B81" i="11"/>
  <c r="B70" i="11"/>
  <c r="B59" i="11"/>
  <c r="B48" i="11"/>
  <c r="B37" i="11"/>
  <c r="B26" i="11"/>
  <c r="B15" i="11"/>
  <c r="B4" i="11"/>
  <c r="B313" i="11"/>
  <c r="B302" i="11"/>
  <c r="B290" i="11"/>
  <c r="B278" i="11"/>
  <c r="B267" i="11"/>
  <c r="B255" i="11"/>
  <c r="B243" i="11"/>
  <c r="B231" i="11"/>
  <c r="B219" i="11"/>
  <c r="B208" i="11"/>
  <c r="B197" i="11"/>
  <c r="B185" i="11"/>
  <c r="B173" i="11"/>
  <c r="B161" i="11"/>
  <c r="B149" i="11"/>
  <c r="B137" i="11"/>
  <c r="B125" i="11"/>
  <c r="B113" i="11"/>
  <c r="B101" i="11"/>
  <c r="B90" i="11"/>
  <c r="B79" i="11"/>
  <c r="B68" i="11"/>
  <c r="B57" i="11"/>
  <c r="B46" i="11"/>
  <c r="B35" i="11"/>
  <c r="B24" i="11"/>
  <c r="B13" i="11"/>
  <c r="B2" i="11"/>
  <c r="A320" i="11"/>
  <c r="J318" i="11"/>
  <c r="J296" i="11"/>
  <c r="J284" i="11"/>
  <c r="J261" i="11"/>
  <c r="J249" i="11"/>
  <c r="J237" i="11"/>
  <c r="J225" i="11"/>
  <c r="J191" i="11"/>
  <c r="J179" i="11"/>
  <c r="J167" i="11"/>
  <c r="J155" i="11"/>
  <c r="J143" i="11"/>
  <c r="J131" i="11"/>
  <c r="J119" i="11"/>
  <c r="J107" i="11"/>
  <c r="A309" i="11"/>
  <c r="J307" i="11"/>
  <c r="A298" i="11"/>
  <c r="J295" i="11"/>
  <c r="A286" i="11"/>
  <c r="J283" i="11"/>
  <c r="A274" i="11"/>
  <c r="J272" i="11"/>
  <c r="A263" i="11"/>
  <c r="J260" i="11"/>
  <c r="A251" i="11"/>
  <c r="J248" i="11"/>
  <c r="A239" i="11"/>
  <c r="J236" i="11"/>
  <c r="A227" i="11"/>
  <c r="J224" i="11"/>
  <c r="A215" i="11"/>
  <c r="J213" i="11"/>
  <c r="A204" i="11"/>
  <c r="J202" i="11"/>
  <c r="A193" i="11"/>
  <c r="J190" i="11"/>
  <c r="A181" i="11"/>
  <c r="J178" i="11"/>
  <c r="A169" i="11"/>
  <c r="J166" i="11"/>
  <c r="A157" i="11"/>
  <c r="J154" i="11"/>
  <c r="A145" i="11"/>
  <c r="J142" i="11"/>
  <c r="A133" i="11"/>
  <c r="J130" i="11"/>
  <c r="A121" i="11"/>
  <c r="J118" i="11"/>
  <c r="A109" i="11"/>
  <c r="J106" i="11"/>
  <c r="A97" i="11"/>
  <c r="J95" i="11"/>
  <c r="A86" i="11"/>
  <c r="J84" i="11"/>
  <c r="A75" i="11"/>
  <c r="J73" i="11"/>
  <c r="A64" i="11"/>
  <c r="J62" i="11"/>
  <c r="A53" i="11"/>
  <c r="J51" i="11"/>
  <c r="A42" i="11"/>
  <c r="J40" i="11"/>
  <c r="A31" i="11"/>
  <c r="J29" i="11"/>
  <c r="A20" i="11"/>
  <c r="A9" i="11"/>
  <c r="J18" i="11"/>
  <c r="J7" i="11"/>
  <c r="M91" i="5"/>
  <c r="M90" i="5"/>
  <c r="M89" i="5"/>
  <c r="M88" i="5"/>
  <c r="M87" i="5"/>
  <c r="M86" i="5"/>
  <c r="M85" i="5"/>
  <c r="M82" i="5"/>
  <c r="M46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0" i="5"/>
  <c r="M19" i="5"/>
  <c r="M18" i="5"/>
  <c r="M17" i="5"/>
  <c r="M16" i="5"/>
  <c r="M15" i="5"/>
  <c r="M14" i="5"/>
  <c r="M13" i="5"/>
  <c r="M12" i="5"/>
  <c r="L81" i="5"/>
  <c r="M81" i="5" s="1"/>
  <c r="L80" i="5"/>
  <c r="M80" i="5" s="1"/>
  <c r="L76" i="5"/>
  <c r="M76" i="5" s="1"/>
  <c r="L75" i="5"/>
  <c r="M75" i="5" s="1"/>
  <c r="L74" i="5"/>
  <c r="M74" i="5" s="1"/>
  <c r="L73" i="5"/>
  <c r="M73" i="5" s="1"/>
  <c r="L72" i="5"/>
  <c r="B358" i="11"/>
  <c r="B314" i="11"/>
  <c r="B256" i="11"/>
  <c r="B186" i="11"/>
  <c r="B138" i="11"/>
  <c r="B102" i="11"/>
  <c r="B91" i="11"/>
  <c r="B69" i="11"/>
  <c r="Y12" i="10"/>
  <c r="X11" i="10"/>
  <c r="Y10" i="10"/>
  <c r="X9" i="10"/>
  <c r="Y8" i="10"/>
  <c r="X7" i="10"/>
  <c r="X15" i="10" s="1"/>
  <c r="P12" i="10"/>
  <c r="P11" i="10"/>
  <c r="P10" i="10"/>
  <c r="P9" i="10"/>
  <c r="P8" i="10"/>
  <c r="P7" i="10"/>
  <c r="W6" i="10"/>
  <c r="V5" i="10"/>
  <c r="U4" i="10"/>
  <c r="U15" i="10" s="1"/>
  <c r="T3" i="10"/>
  <c r="S2" i="10"/>
  <c r="P5" i="10"/>
  <c r="P6" i="10"/>
  <c r="P4" i="10"/>
  <c r="P3" i="10"/>
  <c r="P2" i="10"/>
  <c r="P60" i="9"/>
  <c r="AE60" i="9" s="1"/>
  <c r="P59" i="9"/>
  <c r="AE59" i="9" s="1"/>
  <c r="P58" i="9"/>
  <c r="AE58" i="9" s="1"/>
  <c r="P57" i="9"/>
  <c r="AD57" i="9" s="1"/>
  <c r="P56" i="9"/>
  <c r="AC56" i="9" s="1"/>
  <c r="P55" i="9"/>
  <c r="AC55" i="9" s="1"/>
  <c r="R54" i="9"/>
  <c r="S54" i="9" s="1"/>
  <c r="AD54" i="9" s="1"/>
  <c r="R53" i="9"/>
  <c r="S53" i="9" s="1"/>
  <c r="AC53" i="9" s="1"/>
  <c r="R52" i="9"/>
  <c r="S52" i="9" s="1"/>
  <c r="AC52" i="9" s="1"/>
  <c r="P54" i="9"/>
  <c r="P53" i="9"/>
  <c r="P52" i="9"/>
  <c r="P50" i="9"/>
  <c r="Z50" i="9"/>
  <c r="AA50" i="9"/>
  <c r="P51" i="9"/>
  <c r="Z51" i="9"/>
  <c r="AA51" i="9" s="1"/>
  <c r="P49" i="9"/>
  <c r="Z49" i="9" s="1"/>
  <c r="AA49" i="9" s="1"/>
  <c r="P48" i="9"/>
  <c r="Z48" i="9" s="1"/>
  <c r="AA48" i="9" s="1"/>
  <c r="P47" i="9"/>
  <c r="Z47" i="9" s="1"/>
  <c r="AA47" i="9" s="1"/>
  <c r="P46" i="9"/>
  <c r="Z46" i="9" s="1"/>
  <c r="AA46" i="9" s="1"/>
  <c r="P45" i="9"/>
  <c r="Z45" i="9" s="1"/>
  <c r="AA45" i="9" s="1"/>
  <c r="P41" i="9"/>
  <c r="Z41" i="9" s="1"/>
  <c r="AA41" i="9" s="1"/>
  <c r="P40" i="9"/>
  <c r="AB40" i="9" s="1"/>
  <c r="P39" i="9"/>
  <c r="Z39" i="9" s="1"/>
  <c r="AA39" i="9" s="1"/>
  <c r="P38" i="9"/>
  <c r="Z38" i="9" s="1"/>
  <c r="AA38" i="9" s="1"/>
  <c r="P37" i="9"/>
  <c r="AB37" i="9" s="1"/>
  <c r="P36" i="9"/>
  <c r="Z36" i="9" s="1"/>
  <c r="AA36" i="9" s="1"/>
  <c r="P44" i="9"/>
  <c r="Z44" i="9" s="1"/>
  <c r="AA44" i="9" s="1"/>
  <c r="P43" i="9"/>
  <c r="AB43" i="9" s="1"/>
  <c r="P42" i="9"/>
  <c r="Z42" i="9" s="1"/>
  <c r="AA42" i="9" s="1"/>
  <c r="R35" i="9"/>
  <c r="S35" i="9" s="1"/>
  <c r="Z35" i="9" s="1"/>
  <c r="R34" i="9"/>
  <c r="S34" i="9" s="1"/>
  <c r="Z34" i="9" s="1"/>
  <c r="R33" i="9"/>
  <c r="S33" i="9" s="1"/>
  <c r="Z33" i="9" s="1"/>
  <c r="R32" i="9"/>
  <c r="S32" i="9" s="1"/>
  <c r="Z32" i="9" s="1"/>
  <c r="R31" i="9"/>
  <c r="S31" i="9" s="1"/>
  <c r="Z31" i="9" s="1"/>
  <c r="R30" i="9"/>
  <c r="S30" i="9" s="1"/>
  <c r="Z30" i="9" s="1"/>
  <c r="R29" i="9"/>
  <c r="S29" i="9" s="1"/>
  <c r="Z29" i="9" s="1"/>
  <c r="R28" i="9"/>
  <c r="S28" i="9" s="1"/>
  <c r="Z28" i="9" s="1"/>
  <c r="R27" i="9"/>
  <c r="S27" i="9" s="1"/>
  <c r="Z27" i="9" s="1"/>
  <c r="P26" i="9"/>
  <c r="Y26" i="9" s="1"/>
  <c r="P25" i="9"/>
  <c r="Y25" i="9" s="1"/>
  <c r="P24" i="9"/>
  <c r="Y24" i="9" s="1"/>
  <c r="R22" i="9"/>
  <c r="S22" i="9" s="1"/>
  <c r="X22" i="9" s="1"/>
  <c r="R23" i="9"/>
  <c r="S23" i="9" s="1"/>
  <c r="X23" i="9" s="1"/>
  <c r="P26" i="8"/>
  <c r="X26" i="8" s="1"/>
  <c r="P25" i="8"/>
  <c r="W25" i="8" s="1"/>
  <c r="R21" i="9"/>
  <c r="S21" i="9" s="1"/>
  <c r="W21" i="9" s="1"/>
  <c r="R20" i="9"/>
  <c r="S20" i="9" s="1"/>
  <c r="W20" i="9" s="1"/>
  <c r="R19" i="9"/>
  <c r="S19" i="9" s="1"/>
  <c r="W19" i="9" s="1"/>
  <c r="R18" i="9"/>
  <c r="S18" i="9" s="1"/>
  <c r="W18" i="9" s="1"/>
  <c r="R17" i="9"/>
  <c r="S17" i="9" s="1"/>
  <c r="W17" i="9" s="1"/>
  <c r="R13" i="9"/>
  <c r="S13" i="9" s="1"/>
  <c r="U13" i="9" s="1"/>
  <c r="R12" i="9"/>
  <c r="S12" i="9" s="1"/>
  <c r="U12" i="9" s="1"/>
  <c r="R11" i="9"/>
  <c r="S11" i="9" s="1"/>
  <c r="U11" i="9" s="1"/>
  <c r="R10" i="9"/>
  <c r="S10" i="9" s="1"/>
  <c r="U10" i="9" s="1"/>
  <c r="R9" i="9"/>
  <c r="S9" i="9" s="1"/>
  <c r="U9" i="9" s="1"/>
  <c r="R8" i="9"/>
  <c r="S8" i="9" s="1"/>
  <c r="U8" i="9" s="1"/>
  <c r="P16" i="9"/>
  <c r="V16" i="9" s="1"/>
  <c r="P15" i="9"/>
  <c r="V15" i="9" s="1"/>
  <c r="P14" i="9"/>
  <c r="V14" i="9" s="1"/>
  <c r="P13" i="9"/>
  <c r="P12" i="9"/>
  <c r="P11" i="9"/>
  <c r="P10" i="9"/>
  <c r="P9" i="9"/>
  <c r="P8" i="9"/>
  <c r="R7" i="9"/>
  <c r="S7" i="9" s="1"/>
  <c r="T7" i="9" s="1"/>
  <c r="P7" i="9"/>
  <c r="R6" i="9"/>
  <c r="S6" i="9" s="1"/>
  <c r="T6" i="9" s="1"/>
  <c r="P6" i="9"/>
  <c r="R5" i="9"/>
  <c r="S5" i="9" s="1"/>
  <c r="T5" i="9" s="1"/>
  <c r="P5" i="9"/>
  <c r="R4" i="9"/>
  <c r="S4" i="9" s="1"/>
  <c r="T4" i="9" s="1"/>
  <c r="P4" i="9"/>
  <c r="R3" i="9"/>
  <c r="S3" i="9" s="1"/>
  <c r="T3" i="9" s="1"/>
  <c r="P3" i="9"/>
  <c r="R2" i="9"/>
  <c r="S2" i="9" s="1"/>
  <c r="T2" i="9" s="1"/>
  <c r="P2" i="9"/>
  <c r="P24" i="8"/>
  <c r="X24" i="8" s="1"/>
  <c r="P23" i="8"/>
  <c r="W23" i="8" s="1"/>
  <c r="P22" i="8"/>
  <c r="V22" i="8" s="1"/>
  <c r="P21" i="8"/>
  <c r="U21" i="8" s="1"/>
  <c r="P20" i="8"/>
  <c r="T20" i="8" s="1"/>
  <c r="R19" i="8"/>
  <c r="S19" i="8" s="1"/>
  <c r="P19" i="8"/>
  <c r="Y19" i="8" s="1"/>
  <c r="R18" i="8"/>
  <c r="S18" i="8" s="1"/>
  <c r="P18" i="8"/>
  <c r="Y18" i="8" s="1"/>
  <c r="R17" i="8"/>
  <c r="S17" i="8" s="1"/>
  <c r="P17" i="8"/>
  <c r="Y17" i="8" s="1"/>
  <c r="R16" i="8"/>
  <c r="S16" i="8" s="1"/>
  <c r="X16" i="8" s="1"/>
  <c r="R15" i="8"/>
  <c r="S15" i="8" s="1"/>
  <c r="X15" i="8" s="1"/>
  <c r="R14" i="8"/>
  <c r="S14" i="8" s="1"/>
  <c r="X14" i="8" s="1"/>
  <c r="R13" i="8"/>
  <c r="S13" i="8" s="1"/>
  <c r="W13" i="8" s="1"/>
  <c r="R12" i="8"/>
  <c r="S12" i="8" s="1"/>
  <c r="W12" i="8" s="1"/>
  <c r="R11" i="8"/>
  <c r="S11" i="8" s="1"/>
  <c r="W11" i="8" s="1"/>
  <c r="R10" i="8"/>
  <c r="S10" i="8" s="1"/>
  <c r="V10" i="8" s="1"/>
  <c r="R9" i="8"/>
  <c r="S9" i="8" s="1"/>
  <c r="V9" i="8" s="1"/>
  <c r="R8" i="8"/>
  <c r="S8" i="8" s="1"/>
  <c r="V8" i="8" s="1"/>
  <c r="R7" i="8"/>
  <c r="S7" i="8" s="1"/>
  <c r="U7" i="8" s="1"/>
  <c r="R6" i="8"/>
  <c r="S6" i="8" s="1"/>
  <c r="U6" i="8" s="1"/>
  <c r="R5" i="8"/>
  <c r="S5" i="8" s="1"/>
  <c r="U5" i="8" s="1"/>
  <c r="R4" i="8"/>
  <c r="S4" i="8" s="1"/>
  <c r="T4" i="8" s="1"/>
  <c r="R3" i="8"/>
  <c r="S3" i="8" s="1"/>
  <c r="T3" i="8" s="1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R2" i="8"/>
  <c r="S2" i="8" s="1"/>
  <c r="T2" i="8" s="1"/>
  <c r="P2" i="8"/>
  <c r="P17" i="7"/>
  <c r="P16" i="7"/>
  <c r="P15" i="7"/>
  <c r="P14" i="7"/>
  <c r="P13" i="7"/>
  <c r="P12" i="7"/>
  <c r="P11" i="7"/>
  <c r="P10" i="7"/>
  <c r="P21" i="7"/>
  <c r="Y21" i="7" s="1"/>
  <c r="P20" i="7"/>
  <c r="AB20" i="7" s="1"/>
  <c r="P19" i="7"/>
  <c r="AB19" i="7" s="1"/>
  <c r="P18" i="7"/>
  <c r="AB18" i="7" s="1"/>
  <c r="P9" i="7"/>
  <c r="P8" i="7"/>
  <c r="P7" i="7"/>
  <c r="P6" i="7"/>
  <c r="P5" i="7"/>
  <c r="P4" i="7"/>
  <c r="P3" i="7"/>
  <c r="P2" i="7"/>
  <c r="R17" i="7"/>
  <c r="S17" i="7" s="1"/>
  <c r="AA17" i="7" s="1"/>
  <c r="R16" i="7"/>
  <c r="S16" i="7" s="1"/>
  <c r="AA16" i="7" s="1"/>
  <c r="R15" i="7"/>
  <c r="S15" i="7" s="1"/>
  <c r="R14" i="7"/>
  <c r="S14" i="7" s="1"/>
  <c r="AA14" i="7" s="1"/>
  <c r="R13" i="7"/>
  <c r="S13" i="7" s="1"/>
  <c r="AA13" i="7" s="1"/>
  <c r="R12" i="7"/>
  <c r="S12" i="7" s="1"/>
  <c r="R11" i="7"/>
  <c r="S11" i="7" s="1"/>
  <c r="AA11" i="7" s="1"/>
  <c r="R10" i="7"/>
  <c r="S10" i="7" s="1"/>
  <c r="R21" i="7"/>
  <c r="S21" i="7" s="1"/>
  <c r="Q21" i="7"/>
  <c r="V21" i="7" s="1"/>
  <c r="R20" i="7"/>
  <c r="S20" i="7" s="1"/>
  <c r="Q20" i="7"/>
  <c r="V20" i="7" s="1"/>
  <c r="R19" i="7"/>
  <c r="S19" i="7" s="1"/>
  <c r="Q19" i="7"/>
  <c r="V19" i="7" s="1"/>
  <c r="R18" i="7"/>
  <c r="S18" i="7" s="1"/>
  <c r="Q18" i="7"/>
  <c r="V18" i="7" s="1"/>
  <c r="Q17" i="7"/>
  <c r="U17" i="7" s="1"/>
  <c r="Q16" i="7"/>
  <c r="U16" i="7" s="1"/>
  <c r="Q15" i="7"/>
  <c r="U15" i="7" s="1"/>
  <c r="Q14" i="7"/>
  <c r="U14" i="7" s="1"/>
  <c r="Q13" i="7"/>
  <c r="U13" i="7" s="1"/>
  <c r="Q12" i="7"/>
  <c r="U12" i="7" s="1"/>
  <c r="Q11" i="7"/>
  <c r="U11" i="7" s="1"/>
  <c r="Q10" i="7"/>
  <c r="U10" i="7" s="1"/>
  <c r="R9" i="7"/>
  <c r="S9" i="7" s="1"/>
  <c r="Z9" i="7" s="1"/>
  <c r="R8" i="7"/>
  <c r="S8" i="7" s="1"/>
  <c r="Z8" i="7" s="1"/>
  <c r="R7" i="7"/>
  <c r="S7" i="7" s="1"/>
  <c r="Z7" i="7" s="1"/>
  <c r="R6" i="7"/>
  <c r="S6" i="7" s="1"/>
  <c r="Z6" i="7" s="1"/>
  <c r="R5" i="7"/>
  <c r="S5" i="7" s="1"/>
  <c r="R4" i="7"/>
  <c r="S4" i="7" s="1"/>
  <c r="R3" i="7"/>
  <c r="S3" i="7" s="1"/>
  <c r="R2" i="7"/>
  <c r="S2" i="7" s="1"/>
  <c r="Q9" i="7"/>
  <c r="T9" i="7" s="1"/>
  <c r="Q8" i="7"/>
  <c r="T8" i="7" s="1"/>
  <c r="Q7" i="7"/>
  <c r="T7" i="7" s="1"/>
  <c r="Q6" i="7"/>
  <c r="T6" i="7" s="1"/>
  <c r="Q5" i="7"/>
  <c r="T5" i="7" s="1"/>
  <c r="Q4" i="7"/>
  <c r="T4" i="7" s="1"/>
  <c r="Q3" i="7"/>
  <c r="T3" i="7" s="1"/>
  <c r="Q2" i="7"/>
  <c r="T2" i="7" s="1"/>
  <c r="O54" i="4"/>
  <c r="AH54" i="4" s="1"/>
  <c r="AH58" i="4" s="1"/>
  <c r="AJ38" i="4"/>
  <c r="AJ37" i="4"/>
  <c r="AJ36" i="4"/>
  <c r="AI35" i="4"/>
  <c r="O37" i="4"/>
  <c r="AK37" i="4" s="1"/>
  <c r="O38" i="4"/>
  <c r="AK38" i="4" s="1"/>
  <c r="O36" i="4"/>
  <c r="AK36" i="4" s="1"/>
  <c r="AI34" i="4"/>
  <c r="AI33" i="4"/>
  <c r="O33" i="4"/>
  <c r="AK33" i="4" s="1"/>
  <c r="O34" i="4"/>
  <c r="AK34" i="4" s="1"/>
  <c r="O35" i="4"/>
  <c r="AK35" i="4" s="1"/>
  <c r="O22" i="4"/>
  <c r="AK22" i="4" s="1"/>
  <c r="O21" i="4"/>
  <c r="AK21" i="4" s="1"/>
  <c r="O20" i="4"/>
  <c r="AK20" i="4" s="1"/>
  <c r="L19" i="4"/>
  <c r="K19" i="4"/>
  <c r="L18" i="4"/>
  <c r="K18" i="4"/>
  <c r="L12" i="4"/>
  <c r="K12" i="4"/>
  <c r="L11" i="4"/>
  <c r="K11" i="4"/>
  <c r="O11" i="4" s="1"/>
  <c r="AF11" i="4" s="1"/>
  <c r="K8" i="4"/>
  <c r="L8" i="4"/>
  <c r="L7" i="4"/>
  <c r="K7" i="4"/>
  <c r="O53" i="4"/>
  <c r="AD53" i="4" s="1"/>
  <c r="O52" i="4"/>
  <c r="AD52" i="4" s="1"/>
  <c r="O51" i="4"/>
  <c r="AD51" i="4" s="1"/>
  <c r="K6" i="4"/>
  <c r="O6" i="4" s="1"/>
  <c r="AC6" i="4" s="1"/>
  <c r="K3" i="4"/>
  <c r="O3" i="4" s="1"/>
  <c r="AC3" i="4" s="1"/>
  <c r="O50" i="4"/>
  <c r="AB50" i="4" s="1"/>
  <c r="O49" i="4"/>
  <c r="AB49" i="4" s="1"/>
  <c r="O48" i="4"/>
  <c r="AB48" i="4" s="1"/>
  <c r="AB58" i="4" s="1"/>
  <c r="O47" i="4"/>
  <c r="AE47" i="4" s="1"/>
  <c r="AE58" i="4" s="1"/>
  <c r="O46" i="4"/>
  <c r="AA46" i="4" s="1"/>
  <c r="O45" i="4"/>
  <c r="AA45" i="4" s="1"/>
  <c r="O44" i="4"/>
  <c r="AA44" i="4" s="1"/>
  <c r="O43" i="4"/>
  <c r="Z43" i="4" s="1"/>
  <c r="Z58" i="4" s="1"/>
  <c r="O42" i="4"/>
  <c r="Y42" i="4" s="1"/>
  <c r="Y58" i="4" s="1"/>
  <c r="O41" i="4"/>
  <c r="X41" i="4" s="1"/>
  <c r="X58" i="4" s="1"/>
  <c r="O40" i="4"/>
  <c r="W40" i="4" s="1"/>
  <c r="W58" i="4" s="1"/>
  <c r="O39" i="4"/>
  <c r="V39" i="4" s="1"/>
  <c r="V58" i="4" s="1"/>
  <c r="K17" i="4"/>
  <c r="O17" i="4" s="1"/>
  <c r="U17" i="4" s="1"/>
  <c r="K16" i="4"/>
  <c r="O16" i="4" s="1"/>
  <c r="U16" i="4" s="1"/>
  <c r="K15" i="4"/>
  <c r="O15" i="4" s="1"/>
  <c r="U15" i="4" s="1"/>
  <c r="K14" i="4"/>
  <c r="O14" i="4" s="1"/>
  <c r="U14" i="4" s="1"/>
  <c r="K13" i="4"/>
  <c r="O13" i="4" s="1"/>
  <c r="U13" i="4" s="1"/>
  <c r="K10" i="4"/>
  <c r="O10" i="4" s="1"/>
  <c r="T10" i="4" s="1"/>
  <c r="K9" i="4"/>
  <c r="O9" i="4" s="1"/>
  <c r="T9" i="4" s="1"/>
  <c r="K5" i="4"/>
  <c r="O5" i="4" s="1"/>
  <c r="T5" i="4" s="1"/>
  <c r="K4" i="4"/>
  <c r="O4" i="4" s="1"/>
  <c r="T4" i="4" s="1"/>
  <c r="K2" i="4"/>
  <c r="O2" i="4" s="1"/>
  <c r="T2" i="4" s="1"/>
  <c r="O32" i="4"/>
  <c r="U32" i="4" s="1"/>
  <c r="O31" i="4"/>
  <c r="U31" i="4" s="1"/>
  <c r="O30" i="4"/>
  <c r="U30" i="4" s="1"/>
  <c r="O29" i="4"/>
  <c r="U29" i="4" s="1"/>
  <c r="O28" i="4"/>
  <c r="U28" i="4" s="1"/>
  <c r="O27" i="4"/>
  <c r="T27" i="4" s="1"/>
  <c r="O26" i="4"/>
  <c r="T26" i="4" s="1"/>
  <c r="O25" i="4"/>
  <c r="T25" i="4" s="1"/>
  <c r="O24" i="4"/>
  <c r="T24" i="4" s="1"/>
  <c r="O23" i="4"/>
  <c r="T23" i="4" s="1"/>
  <c r="F244" i="2"/>
  <c r="F242" i="2"/>
  <c r="F240" i="2"/>
  <c r="F238" i="2"/>
  <c r="F236" i="2"/>
  <c r="F234" i="2"/>
  <c r="F232" i="2"/>
  <c r="F230" i="2"/>
  <c r="F250" i="2" s="1"/>
  <c r="F252" i="2" s="1"/>
  <c r="F268" i="2" s="1"/>
  <c r="F190" i="2"/>
  <c r="F182" i="2"/>
  <c r="F216" i="2"/>
  <c r="F214" i="2"/>
  <c r="F212" i="2"/>
  <c r="F210" i="2"/>
  <c r="F208" i="2"/>
  <c r="F206" i="2"/>
  <c r="F204" i="2"/>
  <c r="F188" i="2"/>
  <c r="F186" i="2"/>
  <c r="F184" i="2"/>
  <c r="F180" i="2"/>
  <c r="F178" i="2"/>
  <c r="F176" i="2"/>
  <c r="F174" i="2"/>
  <c r="F172" i="2"/>
  <c r="F170" i="2"/>
  <c r="F156" i="2"/>
  <c r="F154" i="2"/>
  <c r="F152" i="2"/>
  <c r="F150" i="2"/>
  <c r="F148" i="2"/>
  <c r="F146" i="2"/>
  <c r="F144" i="2"/>
  <c r="F142" i="2"/>
  <c r="F140" i="2"/>
  <c r="F124" i="2"/>
  <c r="F122" i="2"/>
  <c r="F120" i="2"/>
  <c r="F118" i="2"/>
  <c r="F116" i="2"/>
  <c r="F114" i="2"/>
  <c r="F112" i="2"/>
  <c r="F106" i="2"/>
  <c r="F104" i="2"/>
  <c r="F102" i="2"/>
  <c r="F100" i="2"/>
  <c r="F98" i="2"/>
  <c r="F96" i="2"/>
  <c r="F94" i="2"/>
  <c r="F92" i="2"/>
  <c r="F90" i="2"/>
  <c r="F74" i="2"/>
  <c r="F72" i="2"/>
  <c r="F70" i="2"/>
  <c r="F68" i="2"/>
  <c r="F66" i="2"/>
  <c r="F64" i="2"/>
  <c r="F62" i="2"/>
  <c r="F60" i="2"/>
  <c r="F58" i="2"/>
  <c r="F52" i="2"/>
  <c r="F50" i="2"/>
  <c r="F48" i="2"/>
  <c r="F46" i="2"/>
  <c r="F44" i="2"/>
  <c r="F42" i="2"/>
  <c r="F40" i="2"/>
  <c r="F38" i="2"/>
  <c r="F36" i="2"/>
  <c r="F6" i="2"/>
  <c r="F8" i="2"/>
  <c r="F10" i="2"/>
  <c r="F12" i="2"/>
  <c r="F14" i="2"/>
  <c r="F16" i="2"/>
  <c r="F18" i="2"/>
  <c r="F20" i="2"/>
  <c r="F22" i="2"/>
  <c r="E20" i="16"/>
  <c r="E19" i="16"/>
  <c r="E18" i="16"/>
  <c r="E17" i="16"/>
  <c r="E16" i="16"/>
  <c r="E15" i="16"/>
  <c r="E14" i="16"/>
  <c r="E12" i="16"/>
  <c r="E11" i="16"/>
  <c r="E10" i="16"/>
  <c r="E9" i="16"/>
  <c r="E8" i="16"/>
  <c r="E7" i="16"/>
  <c r="E6" i="16"/>
  <c r="E5" i="16"/>
  <c r="K46" i="13" l="1"/>
  <c r="M45" i="13"/>
  <c r="I46" i="13"/>
  <c r="B25" i="11"/>
  <c r="B36" i="11"/>
  <c r="B268" i="11"/>
  <c r="B390" i="11"/>
  <c r="B47" i="11"/>
  <c r="B58" i="11"/>
  <c r="B80" i="11"/>
  <c r="B114" i="11"/>
  <c r="B126" i="11"/>
  <c r="B325" i="11"/>
  <c r="B336" i="11"/>
  <c r="B291" i="11"/>
  <c r="B303" i="11"/>
  <c r="B562" i="11"/>
  <c r="B150" i="11"/>
  <c r="B380" i="11"/>
  <c r="B702" i="11"/>
  <c r="B524" i="11"/>
  <c r="B347" i="11"/>
  <c r="B174" i="11"/>
  <c r="B198" i="11"/>
  <c r="B279" i="11"/>
  <c r="B162" i="11"/>
  <c r="B369" i="11"/>
  <c r="B209" i="11"/>
  <c r="B220" i="11"/>
  <c r="B3" i="11"/>
  <c r="B232" i="11"/>
  <c r="B845" i="11"/>
  <c r="B14" i="11"/>
  <c r="B244" i="11"/>
  <c r="E21" i="16"/>
  <c r="O414" i="11"/>
  <c r="O448" i="11"/>
  <c r="O202" i="11"/>
  <c r="M728" i="11"/>
  <c r="N728" i="11" s="1"/>
  <c r="M634" i="11"/>
  <c r="N634" i="11" s="1"/>
  <c r="P634" i="11" s="1"/>
  <c r="M849" i="11"/>
  <c r="N849" i="11" s="1"/>
  <c r="P849" i="11" s="1"/>
  <c r="P851" i="11" s="1"/>
  <c r="O69" i="5" s="1"/>
  <c r="M662" i="11"/>
  <c r="N662" i="11" s="1"/>
  <c r="M619" i="11"/>
  <c r="N619" i="11" s="1"/>
  <c r="M692" i="11"/>
  <c r="N692" i="11" s="1"/>
  <c r="M879" i="11"/>
  <c r="N879" i="11" s="1"/>
  <c r="P879" i="11" s="1"/>
  <c r="M477" i="11"/>
  <c r="N477" i="11" s="1"/>
  <c r="P477" i="11" s="1"/>
  <c r="M864" i="11"/>
  <c r="N864" i="11" s="1"/>
  <c r="M892" i="11"/>
  <c r="N892" i="11" s="1"/>
  <c r="M880" i="11"/>
  <c r="N880" i="11" s="1"/>
  <c r="P880" i="11" s="1"/>
  <c r="M878" i="11"/>
  <c r="N878" i="11" s="1"/>
  <c r="K45" i="13"/>
  <c r="I45" i="13"/>
  <c r="I53" i="13"/>
  <c r="I55" i="13" s="1"/>
  <c r="K53" i="13"/>
  <c r="K55" i="13" s="1"/>
  <c r="M53" i="13"/>
  <c r="M55" i="13" s="1"/>
  <c r="M881" i="11"/>
  <c r="N881" i="11" s="1"/>
  <c r="M877" i="11"/>
  <c r="N877" i="11" s="1"/>
  <c r="M876" i="11"/>
  <c r="N876" i="11" s="1"/>
  <c r="J551" i="11"/>
  <c r="M551" i="11" s="1"/>
  <c r="N551" i="11" s="1"/>
  <c r="M860" i="11"/>
  <c r="N860" i="11" s="1"/>
  <c r="M862" i="11"/>
  <c r="N862" i="11" s="1"/>
  <c r="M617" i="11"/>
  <c r="N617" i="11" s="1"/>
  <c r="P617" i="11" s="1"/>
  <c r="M664" i="11"/>
  <c r="N664" i="11" s="1"/>
  <c r="M604" i="11"/>
  <c r="N604" i="11" s="1"/>
  <c r="M647" i="11"/>
  <c r="N647" i="11" s="1"/>
  <c r="J572" i="11"/>
  <c r="M572" i="11" s="1"/>
  <c r="N572" i="11" s="1"/>
  <c r="M794" i="11"/>
  <c r="N794" i="11" s="1"/>
  <c r="M861" i="11"/>
  <c r="N861" i="11" s="1"/>
  <c r="M863" i="11"/>
  <c r="N863" i="11" s="1"/>
  <c r="M865" i="11"/>
  <c r="N865" i="11" s="1"/>
  <c r="M838" i="11"/>
  <c r="N838" i="11" s="1"/>
  <c r="M827" i="11"/>
  <c r="N827" i="11" s="1"/>
  <c r="M816" i="11"/>
  <c r="N816" i="11" s="1"/>
  <c r="M805" i="11"/>
  <c r="N805" i="11" s="1"/>
  <c r="M783" i="11"/>
  <c r="N783" i="11" s="1"/>
  <c r="M772" i="11"/>
  <c r="N772" i="11" s="1"/>
  <c r="M761" i="11"/>
  <c r="N761" i="11" s="1"/>
  <c r="M750" i="11"/>
  <c r="N750" i="11" s="1"/>
  <c r="M739" i="11"/>
  <c r="N739" i="11" s="1"/>
  <c r="M717" i="11"/>
  <c r="N717" i="11" s="1"/>
  <c r="M602" i="11"/>
  <c r="N602" i="11" s="1"/>
  <c r="M616" i="11"/>
  <c r="N616" i="11" s="1"/>
  <c r="M620" i="11"/>
  <c r="N620" i="11" s="1"/>
  <c r="M663" i="11"/>
  <c r="N663" i="11" s="1"/>
  <c r="M632" i="11"/>
  <c r="N632" i="11" s="1"/>
  <c r="M694" i="11"/>
  <c r="N694" i="11" s="1"/>
  <c r="P694" i="11" s="1"/>
  <c r="J534" i="11"/>
  <c r="M534" i="11" s="1"/>
  <c r="N534" i="11" s="1"/>
  <c r="M677" i="11"/>
  <c r="N677" i="11" s="1"/>
  <c r="M649" i="11"/>
  <c r="N649" i="11" s="1"/>
  <c r="P649" i="11" s="1"/>
  <c r="J495" i="11"/>
  <c r="M495" i="11" s="1"/>
  <c r="N495" i="11" s="1"/>
  <c r="J512" i="11"/>
  <c r="M512" i="11" s="1"/>
  <c r="N512" i="11" s="1"/>
  <c r="J528" i="11"/>
  <c r="M528" i="11" s="1"/>
  <c r="N528" i="11" s="1"/>
  <c r="M618" i="11"/>
  <c r="N618" i="11" s="1"/>
  <c r="M661" i="11"/>
  <c r="N661" i="11" s="1"/>
  <c r="P661" i="11" s="1"/>
  <c r="M665" i="11"/>
  <c r="N665" i="11" s="1"/>
  <c r="P665" i="11" s="1"/>
  <c r="J552" i="11"/>
  <c r="M552" i="11" s="1"/>
  <c r="N552" i="11" s="1"/>
  <c r="J553" i="11"/>
  <c r="M553" i="11" s="1"/>
  <c r="N553" i="11" s="1"/>
  <c r="J573" i="11"/>
  <c r="M573" i="11" s="1"/>
  <c r="N573" i="11" s="1"/>
  <c r="M706" i="11"/>
  <c r="N706" i="11" s="1"/>
  <c r="M679" i="11"/>
  <c r="N679" i="11" s="1"/>
  <c r="P679" i="11" s="1"/>
  <c r="M678" i="11"/>
  <c r="N678" i="11" s="1"/>
  <c r="P678" i="11" s="1"/>
  <c r="M648" i="11"/>
  <c r="N648" i="11" s="1"/>
  <c r="M680" i="11"/>
  <c r="N680" i="11" s="1"/>
  <c r="P680" i="11" s="1"/>
  <c r="M676" i="11"/>
  <c r="N676" i="11" s="1"/>
  <c r="P676" i="11" s="1"/>
  <c r="M691" i="11"/>
  <c r="N691" i="11" s="1"/>
  <c r="M693" i="11"/>
  <c r="N693" i="11" s="1"/>
  <c r="M695" i="11"/>
  <c r="N695" i="11" s="1"/>
  <c r="M646" i="11"/>
  <c r="N646" i="11" s="1"/>
  <c r="M650" i="11"/>
  <c r="N650" i="11" s="1"/>
  <c r="M631" i="11"/>
  <c r="N631" i="11" s="1"/>
  <c r="M635" i="11"/>
  <c r="N635" i="11" s="1"/>
  <c r="M633" i="11"/>
  <c r="N633" i="11" s="1"/>
  <c r="M46" i="13"/>
  <c r="G48" i="13"/>
  <c r="I44" i="13"/>
  <c r="K44" i="13"/>
  <c r="M44" i="13"/>
  <c r="G3" i="13"/>
  <c r="G5" i="13" s="1"/>
  <c r="K3" i="13"/>
  <c r="K5" i="13" s="1"/>
  <c r="M3" i="13"/>
  <c r="M5" i="13" s="1"/>
  <c r="G10" i="13"/>
  <c r="G14" i="13" s="1"/>
  <c r="M11" i="13"/>
  <c r="K11" i="13"/>
  <c r="I11" i="13"/>
  <c r="M20" i="13"/>
  <c r="M37" i="13"/>
  <c r="M39" i="13" s="1"/>
  <c r="I39" i="13"/>
  <c r="G37" i="13"/>
  <c r="K37" i="13"/>
  <c r="K39" i="13" s="1"/>
  <c r="M28" i="13"/>
  <c r="M29" i="13"/>
  <c r="I30" i="13"/>
  <c r="K30" i="13"/>
  <c r="K32" i="13" s="1"/>
  <c r="M30" i="13"/>
  <c r="G29" i="13"/>
  <c r="I29" i="13"/>
  <c r="G28" i="13"/>
  <c r="I28" i="13"/>
  <c r="M19" i="13"/>
  <c r="G21" i="13"/>
  <c r="G23" i="13" s="1"/>
  <c r="I21" i="13"/>
  <c r="M21" i="13"/>
  <c r="I20" i="13"/>
  <c r="K20" i="13"/>
  <c r="I19" i="13"/>
  <c r="K19" i="13"/>
  <c r="M12" i="13"/>
  <c r="K12" i="13"/>
  <c r="I12" i="13"/>
  <c r="I10" i="13"/>
  <c r="M10" i="13"/>
  <c r="M601" i="11"/>
  <c r="N601" i="11" s="1"/>
  <c r="M603" i="11"/>
  <c r="N603" i="11" s="1"/>
  <c r="M605" i="11"/>
  <c r="N605" i="11" s="1"/>
  <c r="J566" i="11"/>
  <c r="M566" i="11" s="1"/>
  <c r="N566" i="11" s="1"/>
  <c r="M587" i="11"/>
  <c r="N587" i="11" s="1"/>
  <c r="M589" i="11"/>
  <c r="N589" i="11" s="1"/>
  <c r="M588" i="11"/>
  <c r="N588" i="11" s="1"/>
  <c r="M567" i="11"/>
  <c r="N567" i="11" s="1"/>
  <c r="M586" i="11"/>
  <c r="N586" i="11" s="1"/>
  <c r="M590" i="11"/>
  <c r="N590" i="11" s="1"/>
  <c r="J515" i="11"/>
  <c r="M515" i="11" s="1"/>
  <c r="N515" i="11" s="1"/>
  <c r="J531" i="11"/>
  <c r="M531" i="11" s="1"/>
  <c r="N531" i="11" s="1"/>
  <c r="J571" i="11"/>
  <c r="M571" i="11" s="1"/>
  <c r="N571" i="11" s="1"/>
  <c r="M574" i="11"/>
  <c r="N574" i="11" s="1"/>
  <c r="M535" i="11"/>
  <c r="N535" i="11" s="1"/>
  <c r="P535" i="11" s="1"/>
  <c r="M568" i="11"/>
  <c r="N568" i="11" s="1"/>
  <c r="P568" i="11" s="1"/>
  <c r="J496" i="11"/>
  <c r="M496" i="11" s="1"/>
  <c r="N496" i="11" s="1"/>
  <c r="M575" i="11"/>
  <c r="N575" i="11" s="1"/>
  <c r="M536" i="11"/>
  <c r="N536" i="11" s="1"/>
  <c r="M547" i="11"/>
  <c r="N547" i="11" s="1"/>
  <c r="M498" i="11"/>
  <c r="N498" i="11" s="1"/>
  <c r="M555" i="11"/>
  <c r="N555" i="11" s="1"/>
  <c r="P555" i="11" s="1"/>
  <c r="M569" i="11"/>
  <c r="N569" i="11" s="1"/>
  <c r="M570" i="11"/>
  <c r="N570" i="11" s="1"/>
  <c r="M554" i="11"/>
  <c r="N554" i="11" s="1"/>
  <c r="P554" i="11" s="1"/>
  <c r="M548" i="11"/>
  <c r="N548" i="11" s="1"/>
  <c r="M549" i="11"/>
  <c r="N549" i="11" s="1"/>
  <c r="M550" i="11"/>
  <c r="N550" i="11" s="1"/>
  <c r="M533" i="11"/>
  <c r="N533" i="11" s="1"/>
  <c r="M530" i="11"/>
  <c r="N530" i="11" s="1"/>
  <c r="M529" i="11"/>
  <c r="N529" i="11" s="1"/>
  <c r="M532" i="11"/>
  <c r="N532" i="11" s="1"/>
  <c r="J492" i="11"/>
  <c r="M492" i="11" s="1"/>
  <c r="N492" i="11" s="1"/>
  <c r="M513" i="11"/>
  <c r="N513" i="11" s="1"/>
  <c r="P513" i="11" s="1"/>
  <c r="J475" i="11"/>
  <c r="M475" i="11" s="1"/>
  <c r="N475" i="11" s="1"/>
  <c r="J447" i="11"/>
  <c r="M447" i="11" s="1"/>
  <c r="N447" i="11" s="1"/>
  <c r="M493" i="11"/>
  <c r="N493" i="11" s="1"/>
  <c r="J514" i="11"/>
  <c r="M514" i="11" s="1"/>
  <c r="N514" i="11" s="1"/>
  <c r="M479" i="11"/>
  <c r="N479" i="11" s="1"/>
  <c r="M511" i="11"/>
  <c r="N511" i="11" s="1"/>
  <c r="P511" i="11" s="1"/>
  <c r="J462" i="11"/>
  <c r="M462" i="11" s="1"/>
  <c r="N462" i="11" s="1"/>
  <c r="J509" i="11"/>
  <c r="M509" i="11" s="1"/>
  <c r="N509" i="11" s="1"/>
  <c r="M516" i="11"/>
  <c r="N516" i="11" s="1"/>
  <c r="M517" i="11"/>
  <c r="N517" i="11" s="1"/>
  <c r="M510" i="11"/>
  <c r="N510" i="11" s="1"/>
  <c r="M497" i="11"/>
  <c r="N497" i="11" s="1"/>
  <c r="M494" i="11"/>
  <c r="N494" i="11" s="1"/>
  <c r="J478" i="11"/>
  <c r="M478" i="11" s="1"/>
  <c r="N478" i="11" s="1"/>
  <c r="M463" i="11"/>
  <c r="N463" i="11" s="1"/>
  <c r="P463" i="11" s="1"/>
  <c r="M480" i="11"/>
  <c r="N480" i="11" s="1"/>
  <c r="P480" i="11" s="1"/>
  <c r="J430" i="11"/>
  <c r="M430" i="11" s="1"/>
  <c r="N430" i="11" s="1"/>
  <c r="J397" i="11"/>
  <c r="M397" i="11" s="1"/>
  <c r="N397" i="11" s="1"/>
  <c r="M476" i="11"/>
  <c r="N476" i="11" s="1"/>
  <c r="M481" i="11"/>
  <c r="N481" i="11" s="1"/>
  <c r="J446" i="11"/>
  <c r="M446" i="11" s="1"/>
  <c r="N446" i="11" s="1"/>
  <c r="M460" i="11"/>
  <c r="N460" i="11" s="1"/>
  <c r="M461" i="11"/>
  <c r="N461" i="11" s="1"/>
  <c r="M464" i="11"/>
  <c r="N464" i="11" s="1"/>
  <c r="M448" i="11"/>
  <c r="N448" i="11" s="1"/>
  <c r="P448" i="11" s="1"/>
  <c r="M432" i="11"/>
  <c r="N432" i="11" s="1"/>
  <c r="M445" i="11"/>
  <c r="N445" i="11" s="1"/>
  <c r="M443" i="11"/>
  <c r="N443" i="11" s="1"/>
  <c r="M449" i="11"/>
  <c r="N449" i="11" s="1"/>
  <c r="M444" i="11"/>
  <c r="N444" i="11" s="1"/>
  <c r="J429" i="11"/>
  <c r="M429" i="11" s="1"/>
  <c r="N429" i="11" s="1"/>
  <c r="M426" i="11"/>
  <c r="N426" i="11" s="1"/>
  <c r="P426" i="11" s="1"/>
  <c r="M414" i="11"/>
  <c r="N414" i="11" s="1"/>
  <c r="M428" i="11"/>
  <c r="N428" i="11" s="1"/>
  <c r="P428" i="11" s="1"/>
  <c r="M431" i="11"/>
  <c r="N431" i="11" s="1"/>
  <c r="M412" i="11"/>
  <c r="N412" i="11" s="1"/>
  <c r="M427" i="11"/>
  <c r="N427" i="11" s="1"/>
  <c r="M411" i="11"/>
  <c r="N411" i="11" s="1"/>
  <c r="J413" i="11"/>
  <c r="M413" i="11" s="1"/>
  <c r="N413" i="11" s="1"/>
  <c r="M261" i="11"/>
  <c r="N261" i="11" s="1"/>
  <c r="Q261" i="11" s="1"/>
  <c r="R261" i="11" s="1"/>
  <c r="M410" i="11"/>
  <c r="N410" i="11" s="1"/>
  <c r="M415" i="11"/>
  <c r="N415" i="11" s="1"/>
  <c r="M396" i="11"/>
  <c r="N396" i="11" s="1"/>
  <c r="M395" i="11"/>
  <c r="N395" i="11" s="1"/>
  <c r="M131" i="11"/>
  <c r="N131" i="11" s="1"/>
  <c r="M399" i="11"/>
  <c r="N399" i="11" s="1"/>
  <c r="M179" i="11"/>
  <c r="N179" i="11" s="1"/>
  <c r="M398" i="11"/>
  <c r="N398" i="11" s="1"/>
  <c r="M340" i="11"/>
  <c r="N340" i="11" s="1"/>
  <c r="P340" i="11" s="1"/>
  <c r="P342" i="11" s="1"/>
  <c r="O87" i="5" s="1"/>
  <c r="Q87" i="5" s="1"/>
  <c r="M329" i="11"/>
  <c r="N329" i="11" s="1"/>
  <c r="M296" i="11"/>
  <c r="N296" i="11" s="1"/>
  <c r="M384" i="11"/>
  <c r="N384" i="11" s="1"/>
  <c r="M318" i="11"/>
  <c r="N318" i="11" s="1"/>
  <c r="Q318" i="11" s="1"/>
  <c r="M362" i="11"/>
  <c r="N362" i="11" s="1"/>
  <c r="Q362" i="11" s="1"/>
  <c r="R362" i="11" s="1"/>
  <c r="R364" i="11" s="1"/>
  <c r="M351" i="11"/>
  <c r="N351" i="11" s="1"/>
  <c r="M394" i="11"/>
  <c r="N394" i="11" s="1"/>
  <c r="M373" i="11"/>
  <c r="N373" i="11" s="1"/>
  <c r="M249" i="11"/>
  <c r="N249" i="11" s="1"/>
  <c r="M284" i="11"/>
  <c r="N284" i="11" s="1"/>
  <c r="M237" i="11"/>
  <c r="N237" i="11" s="1"/>
  <c r="M191" i="11"/>
  <c r="N191" i="11" s="1"/>
  <c r="Q191" i="11" s="1"/>
  <c r="M225" i="11"/>
  <c r="N225" i="11" s="1"/>
  <c r="M119" i="11"/>
  <c r="N119" i="11" s="1"/>
  <c r="M167" i="11"/>
  <c r="N167" i="11" s="1"/>
  <c r="M155" i="11"/>
  <c r="N155" i="11" s="1"/>
  <c r="M143" i="11"/>
  <c r="N143" i="11" s="1"/>
  <c r="Q143" i="11" s="1"/>
  <c r="M107" i="11"/>
  <c r="N107" i="11" s="1"/>
  <c r="Q107" i="11" s="1"/>
  <c r="M154" i="11"/>
  <c r="N154" i="11" s="1"/>
  <c r="M202" i="11"/>
  <c r="N202" i="11" s="1"/>
  <c r="M29" i="11"/>
  <c r="N29" i="11" s="1"/>
  <c r="M7" i="11"/>
  <c r="N7" i="11" s="1"/>
  <c r="M95" i="11"/>
  <c r="N95" i="11" s="1"/>
  <c r="M260" i="11"/>
  <c r="N260" i="11" s="1"/>
  <c r="M130" i="11"/>
  <c r="N130" i="11" s="1"/>
  <c r="M295" i="11"/>
  <c r="N295" i="11" s="1"/>
  <c r="M40" i="11"/>
  <c r="N40" i="11" s="1"/>
  <c r="M236" i="11"/>
  <c r="N236" i="11" s="1"/>
  <c r="M73" i="11"/>
  <c r="N73" i="11" s="1"/>
  <c r="Q73" i="11" s="1"/>
  <c r="M178" i="11"/>
  <c r="N178" i="11" s="1"/>
  <c r="M18" i="11"/>
  <c r="N18" i="11" s="1"/>
  <c r="M213" i="11"/>
  <c r="N213" i="11" s="1"/>
  <c r="M51" i="11"/>
  <c r="N51" i="11" s="1"/>
  <c r="M106" i="11"/>
  <c r="N106" i="11" s="1"/>
  <c r="Q106" i="11" s="1"/>
  <c r="M190" i="11"/>
  <c r="N190" i="11" s="1"/>
  <c r="M166" i="11"/>
  <c r="N166" i="11" s="1"/>
  <c r="M84" i="11"/>
  <c r="N84" i="11" s="1"/>
  <c r="M307" i="11"/>
  <c r="N307" i="11" s="1"/>
  <c r="M224" i="11"/>
  <c r="N224" i="11" s="1"/>
  <c r="M62" i="11"/>
  <c r="N62" i="11" s="1"/>
  <c r="M142" i="11"/>
  <c r="N142" i="11" s="1"/>
  <c r="Q142" i="11" s="1"/>
  <c r="M283" i="11"/>
  <c r="N283" i="11" s="1"/>
  <c r="M272" i="11"/>
  <c r="N272" i="11" s="1"/>
  <c r="M248" i="11"/>
  <c r="N248" i="11" s="1"/>
  <c r="M118" i="11"/>
  <c r="N118" i="11" s="1"/>
  <c r="M72" i="5"/>
  <c r="B642" i="11"/>
  <c r="M61" i="5"/>
  <c r="B406" i="11"/>
  <c r="AC63" i="9"/>
  <c r="L77" i="5" s="1"/>
  <c r="M77" i="5" s="1"/>
  <c r="AD63" i="9"/>
  <c r="L78" i="5" s="1"/>
  <c r="M78" i="5" s="1"/>
  <c r="AE63" i="9"/>
  <c r="L79" i="5" s="1"/>
  <c r="M79" i="5" s="1"/>
  <c r="U25" i="7"/>
  <c r="L44" i="5" s="1"/>
  <c r="B597" i="11" s="1"/>
  <c r="T25" i="7"/>
  <c r="L43" i="5" s="1"/>
  <c r="M43" i="5" s="1"/>
  <c r="AB21" i="7"/>
  <c r="AB25" i="7" s="1"/>
  <c r="L52" i="5" s="1"/>
  <c r="W15" i="10"/>
  <c r="S15" i="10"/>
  <c r="V15" i="10"/>
  <c r="T15" i="10"/>
  <c r="Y15" i="10"/>
  <c r="AB63" i="9"/>
  <c r="L69" i="5" s="1"/>
  <c r="W63" i="9"/>
  <c r="L64" i="5" s="1"/>
  <c r="M64" i="5" s="1"/>
  <c r="T63" i="9"/>
  <c r="L61" i="5" s="1"/>
  <c r="B627" i="11" s="1"/>
  <c r="U63" i="9"/>
  <c r="L62" i="5" s="1"/>
  <c r="M62" i="5" s="1"/>
  <c r="X63" i="9"/>
  <c r="L65" i="5" s="1"/>
  <c r="M65" i="5" s="1"/>
  <c r="AA63" i="9"/>
  <c r="L68" i="5" s="1"/>
  <c r="M68" i="5" s="1"/>
  <c r="Y63" i="9"/>
  <c r="L66" i="5" s="1"/>
  <c r="M66" i="5" s="1"/>
  <c r="V63" i="9"/>
  <c r="L63" i="5" s="1"/>
  <c r="M63" i="5" s="1"/>
  <c r="U30" i="8"/>
  <c r="L54" i="5" s="1"/>
  <c r="M54" i="5" s="1"/>
  <c r="T30" i="8"/>
  <c r="L53" i="5" s="1"/>
  <c r="B779" i="11" s="1"/>
  <c r="V30" i="8"/>
  <c r="L55" i="5" s="1"/>
  <c r="M55" i="5" s="1"/>
  <c r="X17" i="7"/>
  <c r="Y18" i="7"/>
  <c r="Y19" i="7"/>
  <c r="Y20" i="7"/>
  <c r="Z2" i="7"/>
  <c r="W2" i="7"/>
  <c r="Z3" i="7"/>
  <c r="W3" i="7"/>
  <c r="Z4" i="7"/>
  <c r="W4" i="7"/>
  <c r="Z5" i="7"/>
  <c r="W5" i="7"/>
  <c r="AA12" i="7"/>
  <c r="X12" i="7"/>
  <c r="AA15" i="7"/>
  <c r="X15" i="7"/>
  <c r="W6" i="7"/>
  <c r="X11" i="7"/>
  <c r="W7" i="7"/>
  <c r="W8" i="7"/>
  <c r="W9" i="7"/>
  <c r="X13" i="7"/>
  <c r="X14" i="7"/>
  <c r="X16" i="7"/>
  <c r="X10" i="7"/>
  <c r="AA10" i="7"/>
  <c r="V25" i="7"/>
  <c r="L45" i="5" s="1"/>
  <c r="M45" i="5" s="1"/>
  <c r="AD58" i="4"/>
  <c r="AJ58" i="4"/>
  <c r="U58" i="4"/>
  <c r="T58" i="4"/>
  <c r="AA58" i="4"/>
  <c r="AK58" i="4"/>
  <c r="AI58" i="4"/>
  <c r="O18" i="4"/>
  <c r="AF18" i="4" s="1"/>
  <c r="O19" i="4"/>
  <c r="AG19" i="4" s="1"/>
  <c r="O12" i="4"/>
  <c r="AG12" i="4" s="1"/>
  <c r="O8" i="4"/>
  <c r="AG8" i="4" s="1"/>
  <c r="O7" i="4"/>
  <c r="AF7" i="4" s="1"/>
  <c r="AC23" i="4"/>
  <c r="AC25" i="4"/>
  <c r="F158" i="2"/>
  <c r="F164" i="2" s="1"/>
  <c r="F166" i="2" s="1"/>
  <c r="F262" i="2" s="1"/>
  <c r="F218" i="2"/>
  <c r="F224" i="2" s="1"/>
  <c r="F226" i="2" s="1"/>
  <c r="F192" i="2"/>
  <c r="F108" i="2"/>
  <c r="F132" i="2" s="1"/>
  <c r="F126" i="2"/>
  <c r="F134" i="2" s="1"/>
  <c r="F76" i="2"/>
  <c r="F84" i="2" s="1"/>
  <c r="F54" i="2"/>
  <c r="F82" i="2" s="1"/>
  <c r="F24" i="2"/>
  <c r="F30" i="2" s="1"/>
  <c r="F32" i="2" s="1"/>
  <c r="F256" i="2" s="1"/>
  <c r="B657" i="11" l="1"/>
  <c r="Q663" i="11" s="1"/>
  <c r="R663" i="11" s="1"/>
  <c r="B488" i="11"/>
  <c r="Q495" i="11" s="1"/>
  <c r="R495" i="11" s="1"/>
  <c r="B687" i="11"/>
  <c r="Q695" i="11" s="1"/>
  <c r="R695" i="11" s="1"/>
  <c r="Q631" i="11"/>
  <c r="R631" i="11" s="1"/>
  <c r="M69" i="5"/>
  <c r="B834" i="11"/>
  <c r="Q632" i="11"/>
  <c r="R632" i="11" s="1"/>
  <c r="M53" i="5"/>
  <c r="M52" i="5"/>
  <c r="Q601" i="11"/>
  <c r="R601" i="11" s="1"/>
  <c r="Q604" i="11"/>
  <c r="R604" i="11" s="1"/>
  <c r="Q602" i="11"/>
  <c r="R602" i="11" s="1"/>
  <c r="B582" i="11"/>
  <c r="Q586" i="11" s="1"/>
  <c r="M44" i="5"/>
  <c r="Q283" i="11"/>
  <c r="R283" i="11" s="1"/>
  <c r="Q296" i="11"/>
  <c r="R296" i="11" s="1"/>
  <c r="S87" i="5"/>
  <c r="R87" i="5"/>
  <c r="P69" i="5"/>
  <c r="Q69" i="5"/>
  <c r="Q647" i="11"/>
  <c r="R647" i="11" s="1"/>
  <c r="Q178" i="11"/>
  <c r="R178" i="11" s="1"/>
  <c r="Q40" i="11"/>
  <c r="R40" i="11" s="1"/>
  <c r="R42" i="11" s="1"/>
  <c r="Q29" i="11"/>
  <c r="R29" i="11" s="1"/>
  <c r="R31" i="11" s="1"/>
  <c r="Q329" i="11"/>
  <c r="R329" i="11" s="1"/>
  <c r="R331" i="11" s="1"/>
  <c r="Q179" i="11"/>
  <c r="R179" i="11" s="1"/>
  <c r="Q410" i="11"/>
  <c r="R410" i="11" s="1"/>
  <c r="K48" i="13"/>
  <c r="I48" i="13"/>
  <c r="Q62" i="11"/>
  <c r="R62" i="11" s="1"/>
  <c r="R64" i="11" s="1"/>
  <c r="Q412" i="11"/>
  <c r="R412" i="11" s="1"/>
  <c r="K23" i="13"/>
  <c r="Q394" i="11"/>
  <c r="R394" i="11" s="1"/>
  <c r="Q295" i="11"/>
  <c r="R295" i="11" s="1"/>
  <c r="Q414" i="11"/>
  <c r="R414" i="11" s="1"/>
  <c r="Q351" i="11"/>
  <c r="R351" i="11" s="1"/>
  <c r="R353" i="11" s="1"/>
  <c r="Q533" i="11"/>
  <c r="R533" i="11" s="1"/>
  <c r="Q118" i="11"/>
  <c r="R118" i="11" s="1"/>
  <c r="Q648" i="11"/>
  <c r="R648" i="11" s="1"/>
  <c r="Q530" i="11"/>
  <c r="R530" i="11" s="1"/>
  <c r="Q7" i="11"/>
  <c r="R7" i="11" s="1"/>
  <c r="R9" i="11" s="1"/>
  <c r="Q528" i="11"/>
  <c r="R528" i="11" s="1"/>
  <c r="Q155" i="11"/>
  <c r="R155" i="11" s="1"/>
  <c r="Q131" i="11"/>
  <c r="R131" i="11" s="1"/>
  <c r="Q536" i="11"/>
  <c r="R536" i="11" s="1"/>
  <c r="I14" i="13"/>
  <c r="B812" i="11"/>
  <c r="Q816" i="11" s="1"/>
  <c r="Q570" i="11"/>
  <c r="R570" i="11" s="1"/>
  <c r="B768" i="11"/>
  <c r="Q772" i="11" s="1"/>
  <c r="Q574" i="11"/>
  <c r="R574" i="11" s="1"/>
  <c r="Q572" i="11"/>
  <c r="R572" i="11" s="1"/>
  <c r="Q492" i="11"/>
  <c r="R492" i="11" s="1"/>
  <c r="B672" i="11"/>
  <c r="Q678" i="11" s="1"/>
  <c r="R678" i="11" s="1"/>
  <c r="B505" i="11"/>
  <c r="Q411" i="11"/>
  <c r="R411" i="11" s="1"/>
  <c r="Q397" i="11"/>
  <c r="R397" i="11" s="1"/>
  <c r="Q532" i="11"/>
  <c r="R532" i="11" s="1"/>
  <c r="B439" i="11"/>
  <c r="Q445" i="11" s="1"/>
  <c r="R445" i="11" s="1"/>
  <c r="B422" i="11"/>
  <c r="Q236" i="11"/>
  <c r="R236" i="11" s="1"/>
  <c r="B543" i="11"/>
  <c r="Q552" i="11" s="1"/>
  <c r="R552" i="11" s="1"/>
  <c r="Q248" i="11"/>
  <c r="R248" i="11" s="1"/>
  <c r="Q384" i="11"/>
  <c r="R384" i="11" s="1"/>
  <c r="R386" i="11" s="1"/>
  <c r="Q497" i="11"/>
  <c r="R497" i="11" s="1"/>
  <c r="Q573" i="11"/>
  <c r="R573" i="11" s="1"/>
  <c r="B790" i="11"/>
  <c r="Q794" i="11" s="1"/>
  <c r="R794" i="11" s="1"/>
  <c r="R796" i="11" s="1"/>
  <c r="B471" i="11"/>
  <c r="Q479" i="11" s="1"/>
  <c r="R479" i="11" s="1"/>
  <c r="Q783" i="11"/>
  <c r="R783" i="11" s="1"/>
  <c r="R785" i="11" s="1"/>
  <c r="B801" i="11"/>
  <c r="Q805" i="11" s="1"/>
  <c r="R805" i="11" s="1"/>
  <c r="R807" i="11" s="1"/>
  <c r="Q498" i="11"/>
  <c r="R498" i="11" s="1"/>
  <c r="Q307" i="11"/>
  <c r="R307" i="11" s="1"/>
  <c r="R309" i="11" s="1"/>
  <c r="Q166" i="11"/>
  <c r="R166" i="11" s="1"/>
  <c r="Q395" i="11"/>
  <c r="R395" i="11" s="1"/>
  <c r="Q575" i="11"/>
  <c r="R575" i="11" s="1"/>
  <c r="B612" i="11"/>
  <c r="Q617" i="11" s="1"/>
  <c r="R617" i="11" s="1"/>
  <c r="Q119" i="11"/>
  <c r="R119" i="11" s="1"/>
  <c r="Q396" i="11"/>
  <c r="R396" i="11" s="1"/>
  <c r="Q496" i="11"/>
  <c r="R496" i="11" s="1"/>
  <c r="B456" i="11"/>
  <c r="Q461" i="11" s="1"/>
  <c r="R461" i="11" s="1"/>
  <c r="Q634" i="11"/>
  <c r="R634" i="11" s="1"/>
  <c r="Q849" i="11"/>
  <c r="R849" i="11" s="1"/>
  <c r="R851" i="11" s="1"/>
  <c r="P662" i="11"/>
  <c r="P692" i="11"/>
  <c r="P864" i="11"/>
  <c r="P619" i="11"/>
  <c r="P892" i="11"/>
  <c r="P894" i="11" s="1"/>
  <c r="O58" i="5" s="1"/>
  <c r="P878" i="11"/>
  <c r="P877" i="11"/>
  <c r="P862" i="11"/>
  <c r="P876" i="11"/>
  <c r="P881" i="11"/>
  <c r="P647" i="11"/>
  <c r="P664" i="11"/>
  <c r="P604" i="11"/>
  <c r="P860" i="11"/>
  <c r="P632" i="11"/>
  <c r="Q649" i="11"/>
  <c r="R649" i="11" s="1"/>
  <c r="P861" i="11"/>
  <c r="Q694" i="11"/>
  <c r="R694" i="11" s="1"/>
  <c r="P602" i="11"/>
  <c r="P620" i="11"/>
  <c r="P663" i="11"/>
  <c r="P616" i="11"/>
  <c r="P677" i="11"/>
  <c r="P682" i="11" s="1"/>
  <c r="O64" i="5" s="1"/>
  <c r="P750" i="11"/>
  <c r="P752" i="11" s="1"/>
  <c r="O50" i="5" s="1"/>
  <c r="P863" i="11"/>
  <c r="P865" i="11"/>
  <c r="Q838" i="11"/>
  <c r="P838" i="11"/>
  <c r="P840" i="11" s="1"/>
  <c r="O68" i="5" s="1"/>
  <c r="P827" i="11"/>
  <c r="P829" i="11" s="1"/>
  <c r="O67" i="5" s="1"/>
  <c r="P816" i="11"/>
  <c r="P818" i="11" s="1"/>
  <c r="P805" i="11"/>
  <c r="P807" i="11" s="1"/>
  <c r="O55" i="5" s="1"/>
  <c r="P794" i="11"/>
  <c r="P796" i="11" s="1"/>
  <c r="O54" i="5" s="1"/>
  <c r="P783" i="11"/>
  <c r="P785" i="11" s="1"/>
  <c r="O53" i="5" s="1"/>
  <c r="P772" i="11"/>
  <c r="P774" i="11" s="1"/>
  <c r="O52" i="5" s="1"/>
  <c r="P761" i="11"/>
  <c r="P763" i="11" s="1"/>
  <c r="O51" i="5" s="1"/>
  <c r="P739" i="11"/>
  <c r="P741" i="11" s="1"/>
  <c r="O49" i="5" s="1"/>
  <c r="P728" i="11"/>
  <c r="P730" i="11" s="1"/>
  <c r="O48" i="5" s="1"/>
  <c r="P717" i="11"/>
  <c r="P719" i="11" s="1"/>
  <c r="O47" i="5" s="1"/>
  <c r="P618" i="11"/>
  <c r="Q706" i="11"/>
  <c r="R706" i="11" s="1"/>
  <c r="P706" i="11"/>
  <c r="P708" i="11" s="1"/>
  <c r="P648" i="11"/>
  <c r="Q693" i="11"/>
  <c r="R693" i="11" s="1"/>
  <c r="P693" i="11"/>
  <c r="Q691" i="11"/>
  <c r="R691" i="11" s="1"/>
  <c r="P691" i="11"/>
  <c r="P695" i="11"/>
  <c r="Q650" i="11"/>
  <c r="R650" i="11" s="1"/>
  <c r="P650" i="11"/>
  <c r="Q646" i="11"/>
  <c r="R646" i="11" s="1"/>
  <c r="P646" i="11"/>
  <c r="P587" i="11"/>
  <c r="Q633" i="11"/>
  <c r="R633" i="11" s="1"/>
  <c r="P633" i="11"/>
  <c r="Q635" i="11"/>
  <c r="R635" i="11" s="1"/>
  <c r="P635" i="11"/>
  <c r="P631" i="11"/>
  <c r="M48" i="13"/>
  <c r="K14" i="13"/>
  <c r="I23" i="13"/>
  <c r="G39" i="13"/>
  <c r="M32" i="13"/>
  <c r="G32" i="13"/>
  <c r="I32" i="13"/>
  <c r="M23" i="13"/>
  <c r="M14" i="13"/>
  <c r="P601" i="11"/>
  <c r="Q605" i="11"/>
  <c r="R605" i="11" s="1"/>
  <c r="P605" i="11"/>
  <c r="Q603" i="11"/>
  <c r="P603" i="11"/>
  <c r="P589" i="11"/>
  <c r="Q568" i="11"/>
  <c r="R568" i="11" s="1"/>
  <c r="P498" i="11"/>
  <c r="Q535" i="11"/>
  <c r="R535" i="11" s="1"/>
  <c r="P586" i="11"/>
  <c r="Q567" i="11"/>
  <c r="P588" i="11"/>
  <c r="P590" i="11"/>
  <c r="P567" i="11"/>
  <c r="P575" i="11"/>
  <c r="P574" i="11"/>
  <c r="P536" i="11"/>
  <c r="Q569" i="11"/>
  <c r="R569" i="11" s="1"/>
  <c r="P569" i="11"/>
  <c r="Q571" i="11"/>
  <c r="R571" i="11" s="1"/>
  <c r="P571" i="11"/>
  <c r="Q566" i="11"/>
  <c r="R566" i="11" s="1"/>
  <c r="P566" i="11"/>
  <c r="P573" i="11"/>
  <c r="P572" i="11"/>
  <c r="P570" i="11"/>
  <c r="P548" i="11"/>
  <c r="P547" i="11"/>
  <c r="P550" i="11"/>
  <c r="P549" i="11"/>
  <c r="P553" i="11"/>
  <c r="P551" i="11"/>
  <c r="P552" i="11"/>
  <c r="Q534" i="11"/>
  <c r="R534" i="11" s="1"/>
  <c r="P534" i="11"/>
  <c r="Q531" i="11"/>
  <c r="R531" i="11" s="1"/>
  <c r="P531" i="11"/>
  <c r="P533" i="11"/>
  <c r="P532" i="11"/>
  <c r="Q529" i="11"/>
  <c r="R529" i="11" s="1"/>
  <c r="P529" i="11"/>
  <c r="P528" i="11"/>
  <c r="P530" i="11"/>
  <c r="P515" i="11"/>
  <c r="P479" i="11"/>
  <c r="P497" i="11"/>
  <c r="P516" i="11"/>
  <c r="P514" i="11"/>
  <c r="P510" i="11"/>
  <c r="P512" i="11"/>
  <c r="P509" i="11"/>
  <c r="P517" i="11"/>
  <c r="Q493" i="11"/>
  <c r="R493" i="11" s="1"/>
  <c r="P493" i="11"/>
  <c r="P494" i="11"/>
  <c r="P496" i="11"/>
  <c r="P492" i="11"/>
  <c r="P495" i="11"/>
  <c r="P476" i="11"/>
  <c r="P261" i="11"/>
  <c r="P430" i="11"/>
  <c r="P481" i="11"/>
  <c r="P478" i="11"/>
  <c r="P475" i="11"/>
  <c r="P432" i="11"/>
  <c r="P464" i="11"/>
  <c r="P460" i="11"/>
  <c r="P462" i="11"/>
  <c r="P461" i="11"/>
  <c r="P447" i="11"/>
  <c r="P414" i="11"/>
  <c r="P431" i="11"/>
  <c r="P131" i="11"/>
  <c r="P449" i="11"/>
  <c r="P444" i="11"/>
  <c r="P443" i="11"/>
  <c r="P445" i="11"/>
  <c r="P446" i="11"/>
  <c r="P412" i="11"/>
  <c r="P427" i="11"/>
  <c r="P429" i="11"/>
  <c r="P179" i="11"/>
  <c r="P410" i="11"/>
  <c r="Q413" i="11"/>
  <c r="P413" i="11"/>
  <c r="Q415" i="11"/>
  <c r="R415" i="11" s="1"/>
  <c r="P415" i="11"/>
  <c r="P411" i="11"/>
  <c r="P396" i="11"/>
  <c r="P397" i="11"/>
  <c r="P395" i="11"/>
  <c r="Q398" i="11"/>
  <c r="R398" i="11" s="1"/>
  <c r="P399" i="11"/>
  <c r="Q399" i="11"/>
  <c r="R399" i="11" s="1"/>
  <c r="P329" i="11"/>
  <c r="P331" i="11" s="1"/>
  <c r="O86" i="5" s="1"/>
  <c r="P384" i="11"/>
  <c r="P386" i="11" s="1"/>
  <c r="O91" i="5" s="1"/>
  <c r="P296" i="11"/>
  <c r="P362" i="11"/>
  <c r="P364" i="11" s="1"/>
  <c r="O89" i="5" s="1"/>
  <c r="Q340" i="11"/>
  <c r="R340" i="11" s="1"/>
  <c r="R342" i="11" s="1"/>
  <c r="P87" i="5" s="1"/>
  <c r="P398" i="11"/>
  <c r="P318" i="11"/>
  <c r="P320" i="11" s="1"/>
  <c r="O85" i="5" s="1"/>
  <c r="Q85" i="5" s="1"/>
  <c r="P394" i="11"/>
  <c r="Q373" i="11"/>
  <c r="P373" i="11"/>
  <c r="P375" i="11" s="1"/>
  <c r="O90" i="5" s="1"/>
  <c r="Q90" i="5" s="1"/>
  <c r="P351" i="11"/>
  <c r="P353" i="11" s="1"/>
  <c r="O88" i="5" s="1"/>
  <c r="R318" i="11"/>
  <c r="R320" i="11" s="1"/>
  <c r="P249" i="11"/>
  <c r="Q249" i="11"/>
  <c r="R249" i="11" s="1"/>
  <c r="Q167" i="11"/>
  <c r="R167" i="11" s="1"/>
  <c r="R191" i="11"/>
  <c r="P237" i="11"/>
  <c r="Q237" i="11"/>
  <c r="R237" i="11" s="1"/>
  <c r="Q284" i="11"/>
  <c r="R284" i="11" s="1"/>
  <c r="Q225" i="11"/>
  <c r="R225" i="11" s="1"/>
  <c r="P284" i="11"/>
  <c r="P191" i="11"/>
  <c r="P225" i="11"/>
  <c r="P167" i="11"/>
  <c r="P155" i="11"/>
  <c r="R143" i="11"/>
  <c r="P143" i="11"/>
  <c r="P119" i="11"/>
  <c r="P107" i="11"/>
  <c r="R107" i="11"/>
  <c r="P40" i="11"/>
  <c r="P42" i="11" s="1"/>
  <c r="O15" i="5" s="1"/>
  <c r="Q15" i="5" s="1"/>
  <c r="R73" i="11"/>
  <c r="R75" i="11" s="1"/>
  <c r="P202" i="11"/>
  <c r="P204" i="11" s="1"/>
  <c r="O31" i="5" s="1"/>
  <c r="Q31" i="5" s="1"/>
  <c r="P295" i="11"/>
  <c r="Q202" i="11"/>
  <c r="R106" i="11"/>
  <c r="P29" i="11"/>
  <c r="P31" i="11" s="1"/>
  <c r="O14" i="5" s="1"/>
  <c r="Q14" i="5" s="1"/>
  <c r="P73" i="11"/>
  <c r="P75" i="11" s="1"/>
  <c r="O18" i="5" s="1"/>
  <c r="Q18" i="5" s="1"/>
  <c r="P283" i="11"/>
  <c r="P142" i="11"/>
  <c r="P307" i="11"/>
  <c r="P309" i="11" s="1"/>
  <c r="O40" i="5" s="1"/>
  <c r="Q40" i="5" s="1"/>
  <c r="R142" i="11"/>
  <c r="Q224" i="11"/>
  <c r="P224" i="11"/>
  <c r="P248" i="11"/>
  <c r="Q260" i="11"/>
  <c r="R260" i="11" s="1"/>
  <c r="R263" i="11" s="1"/>
  <c r="P260" i="11"/>
  <c r="Q213" i="11"/>
  <c r="P213" i="11"/>
  <c r="P215" i="11" s="1"/>
  <c r="O32" i="5" s="1"/>
  <c r="Q272" i="11"/>
  <c r="R272" i="11" s="1"/>
  <c r="R274" i="11" s="1"/>
  <c r="P272" i="11"/>
  <c r="P274" i="11" s="1"/>
  <c r="O37" i="5" s="1"/>
  <c r="P236" i="11"/>
  <c r="Q190" i="11"/>
  <c r="P190" i="11"/>
  <c r="Q130" i="11"/>
  <c r="P130" i="11"/>
  <c r="P154" i="11"/>
  <c r="Q154" i="11"/>
  <c r="R154" i="11" s="1"/>
  <c r="P106" i="11"/>
  <c r="P118" i="11"/>
  <c r="P166" i="11"/>
  <c r="P178" i="11"/>
  <c r="Q95" i="11"/>
  <c r="P95" i="11"/>
  <c r="P97" i="11" s="1"/>
  <c r="O20" i="5" s="1"/>
  <c r="Q20" i="5" s="1"/>
  <c r="Q84" i="11"/>
  <c r="P84" i="11"/>
  <c r="P86" i="11" s="1"/>
  <c r="O19" i="5" s="1"/>
  <c r="Q19" i="5" s="1"/>
  <c r="P62" i="11"/>
  <c r="P64" i="11" s="1"/>
  <c r="O17" i="5" s="1"/>
  <c r="Q17" i="5" s="1"/>
  <c r="Q51" i="11"/>
  <c r="P51" i="11"/>
  <c r="P53" i="11" s="1"/>
  <c r="O16" i="5" s="1"/>
  <c r="Q16" i="5" s="1"/>
  <c r="Q18" i="11"/>
  <c r="R18" i="11" s="1"/>
  <c r="R20" i="11" s="1"/>
  <c r="P18" i="11"/>
  <c r="P20" i="11" s="1"/>
  <c r="O13" i="5" s="1"/>
  <c r="Q13" i="5" s="1"/>
  <c r="P7" i="11"/>
  <c r="P9" i="11" s="1"/>
  <c r="O12" i="5" s="1"/>
  <c r="Y25" i="7"/>
  <c r="L49" i="5" s="1"/>
  <c r="Z63" i="9"/>
  <c r="L67" i="5" s="1"/>
  <c r="Y30" i="8"/>
  <c r="L58" i="5" s="1"/>
  <c r="W30" i="8"/>
  <c r="L56" i="5" s="1"/>
  <c r="X30" i="8"/>
  <c r="L57" i="5" s="1"/>
  <c r="W25" i="7"/>
  <c r="L47" i="5" s="1"/>
  <c r="Z25" i="7"/>
  <c r="L50" i="5" s="1"/>
  <c r="X25" i="7"/>
  <c r="L48" i="5" s="1"/>
  <c r="AA25" i="7"/>
  <c r="L51" i="5" s="1"/>
  <c r="AG58" i="4"/>
  <c r="AF58" i="4"/>
  <c r="AC58" i="4"/>
  <c r="F86" i="2"/>
  <c r="F258" i="2" s="1"/>
  <c r="F266" i="2"/>
  <c r="F198" i="2"/>
  <c r="F200" i="2" s="1"/>
  <c r="F264" i="2"/>
  <c r="F136" i="2"/>
  <c r="F260" i="2" s="1"/>
  <c r="Q494" i="11" l="1"/>
  <c r="R494" i="11" s="1"/>
  <c r="Q661" i="11"/>
  <c r="R661" i="11" s="1"/>
  <c r="Q664" i="11"/>
  <c r="R664" i="11" s="1"/>
  <c r="Q665" i="11"/>
  <c r="R665" i="11" s="1"/>
  <c r="Q662" i="11"/>
  <c r="R662" i="11" s="1"/>
  <c r="Q692" i="11"/>
  <c r="R692" i="11" s="1"/>
  <c r="R697" i="11" s="1"/>
  <c r="M67" i="5"/>
  <c r="B823" i="11"/>
  <c r="Q827" i="11" s="1"/>
  <c r="R827" i="11" s="1"/>
  <c r="R829" i="11" s="1"/>
  <c r="M56" i="5"/>
  <c r="B856" i="11"/>
  <c r="Q860" i="11" s="1"/>
  <c r="R860" i="11" s="1"/>
  <c r="M58" i="5"/>
  <c r="B888" i="11"/>
  <c r="Q892" i="11" s="1"/>
  <c r="R892" i="11" s="1"/>
  <c r="R894" i="11" s="1"/>
  <c r="M57" i="5"/>
  <c r="B872" i="11"/>
  <c r="B746" i="11"/>
  <c r="Q750" i="11" s="1"/>
  <c r="R750" i="11" s="1"/>
  <c r="R752" i="11" s="1"/>
  <c r="M50" i="5"/>
  <c r="B713" i="11"/>
  <c r="Q717" i="11" s="1"/>
  <c r="R717" i="11" s="1"/>
  <c r="R719" i="11" s="1"/>
  <c r="M47" i="5"/>
  <c r="B735" i="11"/>
  <c r="Q739" i="11" s="1"/>
  <c r="R739" i="11" s="1"/>
  <c r="R741" i="11" s="1"/>
  <c r="M49" i="5"/>
  <c r="B724" i="11"/>
  <c r="Q728" i="11" s="1"/>
  <c r="R728" i="11" s="1"/>
  <c r="R730" i="11" s="1"/>
  <c r="M48" i="5"/>
  <c r="M51" i="5"/>
  <c r="B757" i="11"/>
  <c r="Q761" i="11" s="1"/>
  <c r="R761" i="11" s="1"/>
  <c r="R763" i="11" s="1"/>
  <c r="R298" i="11"/>
  <c r="Q37" i="5"/>
  <c r="R37" i="5" s="1"/>
  <c r="Q12" i="5"/>
  <c r="R12" i="5" s="1"/>
  <c r="P88" i="5"/>
  <c r="Q88" i="5"/>
  <c r="R88" i="5" s="1"/>
  <c r="S17" i="5"/>
  <c r="R17" i="5"/>
  <c r="S15" i="5"/>
  <c r="R15" i="5"/>
  <c r="S19" i="5"/>
  <c r="R19" i="5"/>
  <c r="P53" i="5"/>
  <c r="Q53" i="5"/>
  <c r="S31" i="5"/>
  <c r="R31" i="5"/>
  <c r="T87" i="5"/>
  <c r="E208" i="17"/>
  <c r="F208" i="17" s="1"/>
  <c r="Q32" i="5"/>
  <c r="R32" i="5" s="1"/>
  <c r="P54" i="5"/>
  <c r="Q54" i="5"/>
  <c r="R54" i="5" s="1"/>
  <c r="Q51" i="5"/>
  <c r="P55" i="5"/>
  <c r="Q55" i="5"/>
  <c r="S13" i="5"/>
  <c r="R13" i="5"/>
  <c r="S90" i="5"/>
  <c r="R90" i="5"/>
  <c r="S20" i="5"/>
  <c r="R20" i="5"/>
  <c r="S40" i="5"/>
  <c r="R40" i="5"/>
  <c r="Q67" i="5"/>
  <c r="P48" i="5"/>
  <c r="Q48" i="5"/>
  <c r="P89" i="5"/>
  <c r="Q89" i="5"/>
  <c r="R89" i="5" s="1"/>
  <c r="Q49" i="5"/>
  <c r="P91" i="5"/>
  <c r="Q91" i="5"/>
  <c r="P52" i="5"/>
  <c r="Q52" i="5"/>
  <c r="P86" i="5"/>
  <c r="Q86" i="5"/>
  <c r="S16" i="5"/>
  <c r="R16" i="5"/>
  <c r="S85" i="5"/>
  <c r="R85" i="5"/>
  <c r="P68" i="5"/>
  <c r="Q68" i="5"/>
  <c r="S18" i="5"/>
  <c r="R18" i="5"/>
  <c r="S14" i="5"/>
  <c r="R14" i="5"/>
  <c r="P50" i="5"/>
  <c r="Q50" i="5"/>
  <c r="P58" i="5"/>
  <c r="Q58" i="5"/>
  <c r="S69" i="5"/>
  <c r="E236" i="17" s="1"/>
  <c r="F236" i="17" s="1"/>
  <c r="R69" i="5"/>
  <c r="P64" i="5"/>
  <c r="Q64" i="5"/>
  <c r="P47" i="5"/>
  <c r="Q47" i="5"/>
  <c r="R181" i="11"/>
  <c r="Q554" i="11"/>
  <c r="R554" i="11" s="1"/>
  <c r="Q463" i="11"/>
  <c r="R463" i="11" s="1"/>
  <c r="Q449" i="11"/>
  <c r="R449" i="11" s="1"/>
  <c r="Q460" i="11"/>
  <c r="R460" i="11" s="1"/>
  <c r="Q464" i="11"/>
  <c r="R464" i="11" s="1"/>
  <c r="Q431" i="11"/>
  <c r="R431" i="11" s="1"/>
  <c r="Q478" i="11"/>
  <c r="R478" i="11" s="1"/>
  <c r="Q861" i="11"/>
  <c r="R861" i="11" s="1"/>
  <c r="Q430" i="11"/>
  <c r="R430" i="11" s="1"/>
  <c r="Q548" i="11"/>
  <c r="R548" i="11" s="1"/>
  <c r="Q427" i="11"/>
  <c r="R427" i="11" s="1"/>
  <c r="Q428" i="11"/>
  <c r="R428" i="11" s="1"/>
  <c r="Q555" i="11"/>
  <c r="R555" i="11" s="1"/>
  <c r="Q553" i="11"/>
  <c r="R553" i="11" s="1"/>
  <c r="Q551" i="11"/>
  <c r="R551" i="11" s="1"/>
  <c r="Q481" i="11"/>
  <c r="R481" i="11" s="1"/>
  <c r="Q447" i="11"/>
  <c r="R447" i="11" s="1"/>
  <c r="Q588" i="11"/>
  <c r="R588" i="11" s="1"/>
  <c r="Q426" i="11"/>
  <c r="R426" i="11" s="1"/>
  <c r="Q587" i="11"/>
  <c r="R587" i="11" s="1"/>
  <c r="Q547" i="11"/>
  <c r="R547" i="11" s="1"/>
  <c r="Q448" i="11"/>
  <c r="R448" i="11" s="1"/>
  <c r="Q676" i="11"/>
  <c r="R676" i="11" s="1"/>
  <c r="Q443" i="11"/>
  <c r="R443" i="11" s="1"/>
  <c r="Q475" i="11"/>
  <c r="R475" i="11" s="1"/>
  <c r="R500" i="11"/>
  <c r="Q549" i="11"/>
  <c r="R549" i="11" s="1"/>
  <c r="Q444" i="11"/>
  <c r="R444" i="11" s="1"/>
  <c r="Q480" i="11"/>
  <c r="R480" i="11" s="1"/>
  <c r="Q550" i="11"/>
  <c r="R550" i="11" s="1"/>
  <c r="Q590" i="11"/>
  <c r="R590" i="11" s="1"/>
  <c r="Q516" i="11"/>
  <c r="R516" i="11" s="1"/>
  <c r="Q515" i="11"/>
  <c r="R515" i="11" s="1"/>
  <c r="Q513" i="11"/>
  <c r="R513" i="11" s="1"/>
  <c r="Q476" i="11"/>
  <c r="R476" i="11" s="1"/>
  <c r="Q509" i="11"/>
  <c r="R509" i="11" s="1"/>
  <c r="Q619" i="11"/>
  <c r="R619" i="11" s="1"/>
  <c r="Q477" i="11"/>
  <c r="R477" i="11" s="1"/>
  <c r="R121" i="11"/>
  <c r="Q514" i="11"/>
  <c r="R514" i="11" s="1"/>
  <c r="Q517" i="11"/>
  <c r="R517" i="11" s="1"/>
  <c r="Q620" i="11"/>
  <c r="R620" i="11" s="1"/>
  <c r="Q446" i="11"/>
  <c r="R446" i="11" s="1"/>
  <c r="Q512" i="11"/>
  <c r="R512" i="11" s="1"/>
  <c r="Q616" i="11"/>
  <c r="R616" i="11" s="1"/>
  <c r="Q511" i="11"/>
  <c r="R511" i="11" s="1"/>
  <c r="Q618" i="11"/>
  <c r="R618" i="11" s="1"/>
  <c r="Q677" i="11"/>
  <c r="Q589" i="11"/>
  <c r="R589" i="11" s="1"/>
  <c r="Q429" i="11"/>
  <c r="R429" i="11" s="1"/>
  <c r="Q510" i="11"/>
  <c r="R510" i="11" s="1"/>
  <c r="Q679" i="11"/>
  <c r="R679" i="11" s="1"/>
  <c r="Q432" i="11"/>
  <c r="R432" i="11" s="1"/>
  <c r="Q680" i="11"/>
  <c r="R680" i="11" s="1"/>
  <c r="Q462" i="11"/>
  <c r="R462" i="11" s="1"/>
  <c r="P883" i="11"/>
  <c r="O57" i="5" s="1"/>
  <c r="P667" i="11"/>
  <c r="O63" i="5" s="1"/>
  <c r="P867" i="11"/>
  <c r="O56" i="5" s="1"/>
  <c r="P622" i="11"/>
  <c r="O45" i="5" s="1"/>
  <c r="O66" i="5"/>
  <c r="O46" i="5"/>
  <c r="R838" i="11"/>
  <c r="R840" i="11" s="1"/>
  <c r="R816" i="11"/>
  <c r="R818" i="11" s="1"/>
  <c r="R772" i="11"/>
  <c r="R774" i="11" s="1"/>
  <c r="R708" i="11"/>
  <c r="P652" i="11"/>
  <c r="O62" i="5" s="1"/>
  <c r="R652" i="11"/>
  <c r="R637" i="11"/>
  <c r="P697" i="11"/>
  <c r="O65" i="5" s="1"/>
  <c r="P637" i="11"/>
  <c r="O61" i="5" s="1"/>
  <c r="P607" i="11"/>
  <c r="O44" i="5" s="1"/>
  <c r="R603" i="11"/>
  <c r="R607" i="11" s="1"/>
  <c r="R586" i="11"/>
  <c r="P592" i="11"/>
  <c r="O43" i="5" s="1"/>
  <c r="R567" i="11"/>
  <c r="R577" i="11" s="1"/>
  <c r="R538" i="11"/>
  <c r="P577" i="11"/>
  <c r="O82" i="5" s="1"/>
  <c r="P557" i="11"/>
  <c r="O81" i="5" s="1"/>
  <c r="P538" i="11"/>
  <c r="O80" i="5" s="1"/>
  <c r="P263" i="11"/>
  <c r="O36" i="5" s="1"/>
  <c r="P519" i="11"/>
  <c r="O79" i="5" s="1"/>
  <c r="P500" i="11"/>
  <c r="O78" i="5" s="1"/>
  <c r="P483" i="11"/>
  <c r="O77" i="5" s="1"/>
  <c r="P18" i="5"/>
  <c r="P85" i="5"/>
  <c r="P17" i="5"/>
  <c r="P13" i="5"/>
  <c r="P14" i="5"/>
  <c r="P40" i="5"/>
  <c r="P15" i="5"/>
  <c r="P37" i="5"/>
  <c r="P12" i="5"/>
  <c r="P133" i="11"/>
  <c r="O25" i="5" s="1"/>
  <c r="Q25" i="5" s="1"/>
  <c r="P466" i="11"/>
  <c r="O76" i="5" s="1"/>
  <c r="Q76" i="5" s="1"/>
  <c r="P181" i="11"/>
  <c r="O29" i="5" s="1"/>
  <c r="P451" i="11"/>
  <c r="O75" i="5" s="1"/>
  <c r="P434" i="11"/>
  <c r="O74" i="5" s="1"/>
  <c r="Q74" i="5" s="1"/>
  <c r="P417" i="11"/>
  <c r="O73" i="5" s="1"/>
  <c r="Q73" i="5" s="1"/>
  <c r="R413" i="11"/>
  <c r="R417" i="11" s="1"/>
  <c r="R401" i="11"/>
  <c r="P401" i="11"/>
  <c r="O72" i="5" s="1"/>
  <c r="Q72" i="5" s="1"/>
  <c r="P298" i="11"/>
  <c r="O39" i="5" s="1"/>
  <c r="R373" i="11"/>
  <c r="R375" i="11" s="1"/>
  <c r="P90" i="5" s="1"/>
  <c r="R251" i="11"/>
  <c r="P239" i="11"/>
  <c r="O34" i="5" s="1"/>
  <c r="R239" i="11"/>
  <c r="P251" i="11"/>
  <c r="O35" i="5" s="1"/>
  <c r="Q35" i="5" s="1"/>
  <c r="R286" i="11"/>
  <c r="R169" i="11"/>
  <c r="R224" i="11"/>
  <c r="R227" i="11" s="1"/>
  <c r="R202" i="11"/>
  <c r="R204" i="11" s="1"/>
  <c r="P31" i="5" s="1"/>
  <c r="R190" i="11"/>
  <c r="R193" i="11" s="1"/>
  <c r="P286" i="11"/>
  <c r="O38" i="5" s="1"/>
  <c r="P193" i="11"/>
  <c r="O30" i="5" s="1"/>
  <c r="Q30" i="5" s="1"/>
  <c r="P227" i="11"/>
  <c r="O33" i="5" s="1"/>
  <c r="Q33" i="5" s="1"/>
  <c r="P145" i="11"/>
  <c r="O26" i="5" s="1"/>
  <c r="Q26" i="5" s="1"/>
  <c r="P169" i="11"/>
  <c r="O28" i="5" s="1"/>
  <c r="Q28" i="5" s="1"/>
  <c r="P121" i="11"/>
  <c r="O24" i="5" s="1"/>
  <c r="R145" i="11"/>
  <c r="R157" i="11"/>
  <c r="P157" i="11"/>
  <c r="O27" i="5" s="1"/>
  <c r="R109" i="11"/>
  <c r="P109" i="11"/>
  <c r="O23" i="5" s="1"/>
  <c r="R213" i="11"/>
  <c r="R215" i="11" s="1"/>
  <c r="P32" i="5" s="1"/>
  <c r="R130" i="11"/>
  <c r="R133" i="11" s="1"/>
  <c r="R95" i="11"/>
  <c r="R97" i="11" s="1"/>
  <c r="P20" i="5" s="1"/>
  <c r="R84" i="11"/>
  <c r="R86" i="11" s="1"/>
  <c r="P19" i="5" s="1"/>
  <c r="R51" i="11"/>
  <c r="R53" i="11" s="1"/>
  <c r="P16" i="5" s="1"/>
  <c r="F270" i="2"/>
  <c r="O46" i="12" l="1"/>
  <c r="P46" i="12" s="1"/>
  <c r="R667" i="11"/>
  <c r="O30" i="12"/>
  <c r="Q864" i="11"/>
  <c r="R864" i="11" s="1"/>
  <c r="O29" i="12"/>
  <c r="O44" i="12"/>
  <c r="P44" i="12" s="1"/>
  <c r="O24" i="12"/>
  <c r="P24" i="12" s="1"/>
  <c r="O5" i="12"/>
  <c r="D6" i="14" s="1"/>
  <c r="O59" i="12"/>
  <c r="P59" i="12" s="1"/>
  <c r="O49" i="12"/>
  <c r="P49" i="12" s="1"/>
  <c r="O51" i="12"/>
  <c r="P51" i="12" s="1"/>
  <c r="O54" i="12"/>
  <c r="P54" i="12" s="1"/>
  <c r="O39" i="12"/>
  <c r="P39" i="12" s="1"/>
  <c r="O64" i="12"/>
  <c r="P64" i="12" s="1"/>
  <c r="O52" i="12"/>
  <c r="P52" i="12" s="1"/>
  <c r="O53" i="12"/>
  <c r="P53" i="12" s="1"/>
  <c r="O40" i="12"/>
  <c r="P40" i="12" s="1"/>
  <c r="O41" i="12"/>
  <c r="P41" i="12" s="1"/>
  <c r="P67" i="5"/>
  <c r="O55" i="12"/>
  <c r="P55" i="12" s="1"/>
  <c r="O50" i="12"/>
  <c r="P50" i="12" s="1"/>
  <c r="O57" i="12"/>
  <c r="P57" i="12" s="1"/>
  <c r="O37" i="12"/>
  <c r="P37" i="12" s="1"/>
  <c r="O13" i="12"/>
  <c r="P13" i="12" s="1"/>
  <c r="O61" i="12"/>
  <c r="P61" i="12" s="1"/>
  <c r="O20" i="12"/>
  <c r="D21" i="14" s="1"/>
  <c r="K21" i="14" s="1"/>
  <c r="O35" i="12"/>
  <c r="P35" i="12" s="1"/>
  <c r="O65" i="12"/>
  <c r="P65" i="12" s="1"/>
  <c r="O58" i="12"/>
  <c r="P58" i="12" s="1"/>
  <c r="O12" i="12"/>
  <c r="D13" i="14" s="1"/>
  <c r="I13" i="14" s="1"/>
  <c r="O43" i="12"/>
  <c r="P43" i="12" s="1"/>
  <c r="O32" i="12"/>
  <c r="P32" i="12" s="1"/>
  <c r="O63" i="12"/>
  <c r="P63" i="12" s="1"/>
  <c r="O25" i="12"/>
  <c r="D4" i="15" s="1"/>
  <c r="G4" i="15" s="1"/>
  <c r="O36" i="12"/>
  <c r="P36" i="12" s="1"/>
  <c r="O42" i="12"/>
  <c r="P42" i="12" s="1"/>
  <c r="O38" i="12"/>
  <c r="P38" i="12" s="1"/>
  <c r="Q863" i="11"/>
  <c r="R863" i="11" s="1"/>
  <c r="Q862" i="11"/>
  <c r="R862" i="11" s="1"/>
  <c r="O62" i="12"/>
  <c r="P62" i="12" s="1"/>
  <c r="O45" i="12"/>
  <c r="P45" i="12" s="1"/>
  <c r="O8" i="12"/>
  <c r="D9" i="14" s="1"/>
  <c r="I9" i="14" s="1"/>
  <c r="O31" i="12"/>
  <c r="P31" i="12" s="1"/>
  <c r="O9" i="12"/>
  <c r="P9" i="12" s="1"/>
  <c r="O48" i="12"/>
  <c r="P48" i="12" s="1"/>
  <c r="Q865" i="11"/>
  <c r="R865" i="11" s="1"/>
  <c r="Q876" i="11"/>
  <c r="Q879" i="11"/>
  <c r="R879" i="11" s="1"/>
  <c r="Q877" i="11"/>
  <c r="R877" i="11" s="1"/>
  <c r="Q880" i="11"/>
  <c r="R880" i="11" s="1"/>
  <c r="Q881" i="11"/>
  <c r="R881" i="11" s="1"/>
  <c r="Q878" i="11"/>
  <c r="R878" i="11" s="1"/>
  <c r="O56" i="12"/>
  <c r="P56" i="12" s="1"/>
  <c r="O60" i="12"/>
  <c r="P60" i="12" s="1"/>
  <c r="O47" i="12"/>
  <c r="P47" i="12" s="1"/>
  <c r="P51" i="5"/>
  <c r="P49" i="5"/>
  <c r="O21" i="12"/>
  <c r="P21" i="12" s="1"/>
  <c r="O4" i="12"/>
  <c r="D5" i="14" s="1"/>
  <c r="S32" i="5"/>
  <c r="T32" i="5" s="1"/>
  <c r="S54" i="5"/>
  <c r="T54" i="5" s="1"/>
  <c r="T14" i="5"/>
  <c r="E10" i="17"/>
  <c r="F10" i="17" s="1"/>
  <c r="S48" i="5"/>
  <c r="E232" i="17" s="1"/>
  <c r="F232" i="17" s="1"/>
  <c r="R48" i="5"/>
  <c r="P56" i="5"/>
  <c r="Q56" i="5"/>
  <c r="R56" i="5" s="1"/>
  <c r="S72" i="5"/>
  <c r="R72" i="5"/>
  <c r="T18" i="5"/>
  <c r="E18" i="17"/>
  <c r="F18" i="17" s="1"/>
  <c r="S67" i="5"/>
  <c r="R67" i="5"/>
  <c r="P57" i="5"/>
  <c r="Q57" i="5"/>
  <c r="S68" i="5"/>
  <c r="R68" i="5"/>
  <c r="S28" i="5"/>
  <c r="R28" i="5"/>
  <c r="P63" i="5"/>
  <c r="Q63" i="5"/>
  <c r="P78" i="5"/>
  <c r="Q78" i="5"/>
  <c r="S30" i="5"/>
  <c r="R30" i="5"/>
  <c r="P79" i="5"/>
  <c r="Q79" i="5"/>
  <c r="T31" i="5"/>
  <c r="E52" i="17"/>
  <c r="F52" i="17" s="1"/>
  <c r="P77" i="5"/>
  <c r="Q77" i="5"/>
  <c r="S33" i="5"/>
  <c r="R33" i="5"/>
  <c r="Q38" i="5"/>
  <c r="R38" i="5" s="1"/>
  <c r="S73" i="5"/>
  <c r="E238" i="17" s="1"/>
  <c r="F238" i="17" s="1"/>
  <c r="R73" i="5"/>
  <c r="P36" i="5"/>
  <c r="Q36" i="5"/>
  <c r="T40" i="5"/>
  <c r="E74" i="17"/>
  <c r="F74" i="17" s="1"/>
  <c r="S53" i="5"/>
  <c r="R53" i="5"/>
  <c r="T85" i="5"/>
  <c r="E204" i="17"/>
  <c r="F204" i="17" s="1"/>
  <c r="T20" i="5"/>
  <c r="E22" i="17"/>
  <c r="F22" i="17" s="1"/>
  <c r="S26" i="5"/>
  <c r="R26" i="5"/>
  <c r="P62" i="5"/>
  <c r="Q62" i="5"/>
  <c r="S74" i="5"/>
  <c r="E240" i="17" s="1"/>
  <c r="F240" i="17" s="1"/>
  <c r="R74" i="5"/>
  <c r="T16" i="5"/>
  <c r="E14" i="17"/>
  <c r="F14" i="17" s="1"/>
  <c r="T19" i="5"/>
  <c r="E20" i="17"/>
  <c r="F20" i="17" s="1"/>
  <c r="S47" i="5"/>
  <c r="R47" i="5"/>
  <c r="S86" i="5"/>
  <c r="R86" i="5"/>
  <c r="T90" i="5"/>
  <c r="E214" i="17"/>
  <c r="F214" i="17" s="1"/>
  <c r="P82" i="5"/>
  <c r="Q82" i="5"/>
  <c r="S76" i="5"/>
  <c r="R76" i="5"/>
  <c r="S25" i="5"/>
  <c r="R25" i="5"/>
  <c r="T15" i="5"/>
  <c r="E12" i="17"/>
  <c r="F12" i="17" s="1"/>
  <c r="S64" i="5"/>
  <c r="R64" i="5"/>
  <c r="S52" i="5"/>
  <c r="R52" i="5"/>
  <c r="T13" i="5"/>
  <c r="E8" i="17"/>
  <c r="F8" i="17" s="1"/>
  <c r="P80" i="5"/>
  <c r="Q80" i="5"/>
  <c r="P43" i="5"/>
  <c r="Q43" i="5"/>
  <c r="S55" i="5"/>
  <c r="R55" i="5"/>
  <c r="T17" i="5"/>
  <c r="E16" i="17"/>
  <c r="F16" i="17" s="1"/>
  <c r="P39" i="5"/>
  <c r="Q39" i="5"/>
  <c r="Q75" i="5"/>
  <c r="R75" i="5" s="1"/>
  <c r="S35" i="5"/>
  <c r="R35" i="5"/>
  <c r="S91" i="5"/>
  <c r="R91" i="5"/>
  <c r="S88" i="5"/>
  <c r="T69" i="5"/>
  <c r="E156" i="17"/>
  <c r="F156" i="17" s="1"/>
  <c r="S51" i="5"/>
  <c r="R51" i="5"/>
  <c r="S58" i="5"/>
  <c r="R58" i="5"/>
  <c r="S49" i="5"/>
  <c r="R49" i="5"/>
  <c r="P81" i="5"/>
  <c r="Q81" i="5"/>
  <c r="P29" i="5"/>
  <c r="Q29" i="5"/>
  <c r="Q23" i="5"/>
  <c r="R23" i="5" s="1"/>
  <c r="P44" i="5"/>
  <c r="Q44" i="5"/>
  <c r="Q27" i="5"/>
  <c r="R27" i="5" s="1"/>
  <c r="Q34" i="5"/>
  <c r="R34" i="5" s="1"/>
  <c r="P61" i="5"/>
  <c r="Q61" i="5"/>
  <c r="O23" i="12"/>
  <c r="D24" i="14" s="1"/>
  <c r="P46" i="5"/>
  <c r="Q46" i="5"/>
  <c r="R46" i="5" s="1"/>
  <c r="S50" i="5"/>
  <c r="R50" i="5"/>
  <c r="S89" i="5"/>
  <c r="S12" i="5"/>
  <c r="P65" i="5"/>
  <c r="Q65" i="5"/>
  <c r="P66" i="5"/>
  <c r="Q66" i="5"/>
  <c r="P24" i="5"/>
  <c r="Q24" i="5"/>
  <c r="P45" i="5"/>
  <c r="Q45" i="5"/>
  <c r="S37" i="5"/>
  <c r="R466" i="11"/>
  <c r="O11" i="12"/>
  <c r="P11" i="12" s="1"/>
  <c r="R592" i="11"/>
  <c r="O15" i="12"/>
  <c r="P15" i="12" s="1"/>
  <c r="D3" i="15"/>
  <c r="O26" i="12"/>
  <c r="D5" i="15" s="1"/>
  <c r="R434" i="11"/>
  <c r="R557" i="11"/>
  <c r="P5" i="12"/>
  <c r="O33" i="12"/>
  <c r="D12" i="15" s="1"/>
  <c r="R519" i="11"/>
  <c r="O17" i="12"/>
  <c r="P17" i="12" s="1"/>
  <c r="O22" i="12"/>
  <c r="P22" i="12" s="1"/>
  <c r="R622" i="11"/>
  <c r="O19" i="12"/>
  <c r="D20" i="14" s="1"/>
  <c r="O34" i="12"/>
  <c r="P34" i="12" s="1"/>
  <c r="R483" i="11"/>
  <c r="R677" i="11"/>
  <c r="R682" i="11" s="1"/>
  <c r="R451" i="11"/>
  <c r="O18" i="12"/>
  <c r="D19" i="14" s="1"/>
  <c r="O16" i="12"/>
  <c r="D17" i="14" s="1"/>
  <c r="O27" i="12"/>
  <c r="O14" i="12"/>
  <c r="P14" i="12" s="1"/>
  <c r="O3" i="12"/>
  <c r="P29" i="12"/>
  <c r="D8" i="15"/>
  <c r="P30" i="12"/>
  <c r="D9" i="15"/>
  <c r="G6" i="14"/>
  <c r="M6" i="14"/>
  <c r="K6" i="14"/>
  <c r="I6" i="14"/>
  <c r="P72" i="5"/>
  <c r="P75" i="5"/>
  <c r="P26" i="5"/>
  <c r="P33" i="5"/>
  <c r="P38" i="5"/>
  <c r="P74" i="5"/>
  <c r="P76" i="5"/>
  <c r="P30" i="5"/>
  <c r="P73" i="5"/>
  <c r="P27" i="5"/>
  <c r="P34" i="5"/>
  <c r="P28" i="5"/>
  <c r="P35" i="5"/>
  <c r="P23" i="5"/>
  <c r="P25" i="5"/>
  <c r="M4" i="15" l="1"/>
  <c r="K4" i="15"/>
  <c r="I4" i="15"/>
  <c r="O2" i="12"/>
  <c r="P2" i="12" s="1"/>
  <c r="K13" i="14"/>
  <c r="M13" i="14"/>
  <c r="R867" i="11"/>
  <c r="G13" i="14"/>
  <c r="P12" i="12"/>
  <c r="O6" i="12"/>
  <c r="D7" i="14" s="1"/>
  <c r="M9" i="14"/>
  <c r="P20" i="12"/>
  <c r="M21" i="14"/>
  <c r="P8" i="12"/>
  <c r="G9" i="14"/>
  <c r="O7" i="12"/>
  <c r="D8" i="14" s="1"/>
  <c r="I8" i="14" s="1"/>
  <c r="G21" i="14"/>
  <c r="D14" i="14"/>
  <c r="M14" i="14" s="1"/>
  <c r="D10" i="15"/>
  <c r="K10" i="15" s="1"/>
  <c r="P25" i="12"/>
  <c r="O28" i="12"/>
  <c r="P28" i="12" s="1"/>
  <c r="I21" i="14"/>
  <c r="D11" i="15"/>
  <c r="G11" i="15" s="1"/>
  <c r="K9" i="14"/>
  <c r="R876" i="11"/>
  <c r="R883" i="11" s="1"/>
  <c r="O10" i="12"/>
  <c r="D10" i="14"/>
  <c r="I10" i="14" s="1"/>
  <c r="E116" i="17"/>
  <c r="F116" i="17" s="1"/>
  <c r="D22" i="14"/>
  <c r="M22" i="14" s="1"/>
  <c r="S38" i="5"/>
  <c r="T38" i="5" s="1"/>
  <c r="S56" i="5"/>
  <c r="T56" i="5" s="1"/>
  <c r="P4" i="12"/>
  <c r="E58" i="17"/>
  <c r="F58" i="17" s="1"/>
  <c r="P23" i="12"/>
  <c r="S34" i="5"/>
  <c r="E62" i="17" s="1"/>
  <c r="F62" i="17" s="1"/>
  <c r="S75" i="5"/>
  <c r="T75" i="5" s="1"/>
  <c r="T47" i="5"/>
  <c r="E98" i="17"/>
  <c r="F98" i="17" s="1"/>
  <c r="T28" i="5"/>
  <c r="E46" i="17"/>
  <c r="F46" i="17" s="1"/>
  <c r="S61" i="5"/>
  <c r="R61" i="5"/>
  <c r="T73" i="5"/>
  <c r="E172" i="17"/>
  <c r="F172" i="17" s="1"/>
  <c r="T68" i="5"/>
  <c r="E154" i="17"/>
  <c r="F154" i="17" s="1"/>
  <c r="T37" i="5"/>
  <c r="E68" i="17"/>
  <c r="F68" i="17" s="1"/>
  <c r="S57" i="5"/>
  <c r="E234" i="17" s="1"/>
  <c r="F234" i="17" s="1"/>
  <c r="R57" i="5"/>
  <c r="T51" i="5"/>
  <c r="E106" i="17"/>
  <c r="F106" i="17" s="1"/>
  <c r="S45" i="5"/>
  <c r="R45" i="5"/>
  <c r="T52" i="5"/>
  <c r="E112" i="17"/>
  <c r="F112" i="17" s="1"/>
  <c r="T88" i="5"/>
  <c r="E210" i="17"/>
  <c r="F210" i="17" s="1"/>
  <c r="D12" i="14"/>
  <c r="I12" i="14" s="1"/>
  <c r="S24" i="5"/>
  <c r="R24" i="5"/>
  <c r="T91" i="5"/>
  <c r="E216" i="17"/>
  <c r="F216" i="17" s="1"/>
  <c r="T64" i="5"/>
  <c r="E146" i="17"/>
  <c r="F146" i="17" s="1"/>
  <c r="T74" i="5"/>
  <c r="E174" i="17"/>
  <c r="F174" i="17" s="1"/>
  <c r="T33" i="5"/>
  <c r="E60" i="17"/>
  <c r="F60" i="17" s="1"/>
  <c r="T67" i="5"/>
  <c r="E152" i="17"/>
  <c r="F152" i="17" s="1"/>
  <c r="S27" i="5"/>
  <c r="S62" i="5"/>
  <c r="R62" i="5"/>
  <c r="S77" i="5"/>
  <c r="R77" i="5"/>
  <c r="S66" i="5"/>
  <c r="R66" i="5"/>
  <c r="S44" i="5"/>
  <c r="E230" i="17" s="1"/>
  <c r="F230" i="17" s="1"/>
  <c r="R44" i="5"/>
  <c r="T35" i="5"/>
  <c r="E64" i="17"/>
  <c r="F64" i="17" s="1"/>
  <c r="S65" i="5"/>
  <c r="R65" i="5"/>
  <c r="S23" i="5"/>
  <c r="T25" i="5"/>
  <c r="E40" i="17"/>
  <c r="F40" i="17" s="1"/>
  <c r="T26" i="5"/>
  <c r="E42" i="17"/>
  <c r="F42" i="17" s="1"/>
  <c r="T72" i="5"/>
  <c r="E170" i="17"/>
  <c r="F170" i="17" s="1"/>
  <c r="S39" i="5"/>
  <c r="R39" i="5"/>
  <c r="S79" i="5"/>
  <c r="R79" i="5"/>
  <c r="E6" i="17"/>
  <c r="F6" i="17" s="1"/>
  <c r="F24" i="17" s="1"/>
  <c r="F30" i="17" s="1"/>
  <c r="F32" i="17" s="1"/>
  <c r="F256" i="17" s="1"/>
  <c r="T12" i="5"/>
  <c r="S29" i="5"/>
  <c r="R29" i="5"/>
  <c r="T76" i="5"/>
  <c r="E178" i="17"/>
  <c r="F178" i="17" s="1"/>
  <c r="S81" i="5"/>
  <c r="E242" i="17" s="1"/>
  <c r="F242" i="17" s="1"/>
  <c r="R81" i="5"/>
  <c r="T30" i="5"/>
  <c r="E50" i="17"/>
  <c r="F50" i="17" s="1"/>
  <c r="T50" i="5"/>
  <c r="E104" i="17"/>
  <c r="F104" i="17" s="1"/>
  <c r="S78" i="5"/>
  <c r="R78" i="5"/>
  <c r="S46" i="5"/>
  <c r="T55" i="5"/>
  <c r="E118" i="17"/>
  <c r="F118" i="17" s="1"/>
  <c r="T53" i="5"/>
  <c r="E114" i="17"/>
  <c r="F114" i="17" s="1"/>
  <c r="S82" i="5"/>
  <c r="R82" i="5"/>
  <c r="T49" i="5"/>
  <c r="E102" i="17"/>
  <c r="F102" i="17" s="1"/>
  <c r="S43" i="5"/>
  <c r="R43" i="5"/>
  <c r="S63" i="5"/>
  <c r="R63" i="5"/>
  <c r="T48" i="5"/>
  <c r="E100" i="17"/>
  <c r="F100" i="17" s="1"/>
  <c r="T89" i="5"/>
  <c r="E212" i="17"/>
  <c r="F212" i="17" s="1"/>
  <c r="T86" i="5"/>
  <c r="E206" i="17"/>
  <c r="F206" i="17" s="1"/>
  <c r="T58" i="5"/>
  <c r="E124" i="17"/>
  <c r="F124" i="17" s="1"/>
  <c r="S80" i="5"/>
  <c r="R80" i="5"/>
  <c r="S36" i="5"/>
  <c r="R36" i="5"/>
  <c r="P26" i="12"/>
  <c r="D13" i="15"/>
  <c r="I13" i="15" s="1"/>
  <c r="P33" i="12"/>
  <c r="D3" i="14"/>
  <c r="I3" i="14" s="1"/>
  <c r="D16" i="14"/>
  <c r="G16" i="14" s="1"/>
  <c r="P19" i="12"/>
  <c r="D23" i="14"/>
  <c r="M23" i="14" s="1"/>
  <c r="I3" i="15"/>
  <c r="M3" i="15"/>
  <c r="G3" i="15"/>
  <c r="K3" i="15"/>
  <c r="P18" i="12"/>
  <c r="D18" i="14"/>
  <c r="G18" i="14" s="1"/>
  <c r="P16" i="12"/>
  <c r="D15" i="14"/>
  <c r="K15" i="14" s="1"/>
  <c r="P27" i="12"/>
  <c r="D6" i="15"/>
  <c r="P3" i="12"/>
  <c r="D4" i="14"/>
  <c r="G5" i="15"/>
  <c r="I5" i="15"/>
  <c r="K5" i="15"/>
  <c r="M5" i="15"/>
  <c r="K9" i="15"/>
  <c r="I9" i="15"/>
  <c r="M9" i="15"/>
  <c r="G9" i="15"/>
  <c r="G12" i="15"/>
  <c r="K12" i="15"/>
  <c r="I12" i="15"/>
  <c r="M12" i="15"/>
  <c r="K8" i="15"/>
  <c r="I8" i="15"/>
  <c r="G8" i="15"/>
  <c r="M8" i="15"/>
  <c r="I17" i="14"/>
  <c r="K17" i="14"/>
  <c r="M17" i="14"/>
  <c r="G17" i="14"/>
  <c r="G19" i="14"/>
  <c r="K19" i="14"/>
  <c r="M19" i="14"/>
  <c r="I19" i="14"/>
  <c r="I20" i="14"/>
  <c r="M20" i="14"/>
  <c r="G20" i="14"/>
  <c r="K20" i="14"/>
  <c r="K5" i="14"/>
  <c r="I5" i="14"/>
  <c r="G5" i="14"/>
  <c r="M5" i="14"/>
  <c r="G24" i="14"/>
  <c r="M24" i="14"/>
  <c r="K24" i="14"/>
  <c r="I24" i="14"/>
  <c r="P94" i="5"/>
  <c r="P6" i="12" l="1"/>
  <c r="I10" i="15"/>
  <c r="I14" i="14"/>
  <c r="K14" i="14"/>
  <c r="G14" i="14"/>
  <c r="K8" i="14"/>
  <c r="F244" i="17"/>
  <c r="F250" i="17" s="1"/>
  <c r="F252" i="17" s="1"/>
  <c r="F268" i="17" s="1"/>
  <c r="M11" i="15"/>
  <c r="D7" i="15"/>
  <c r="K7" i="15" s="1"/>
  <c r="G8" i="14"/>
  <c r="M8" i="14"/>
  <c r="P7" i="12"/>
  <c r="G10" i="15"/>
  <c r="M10" i="15"/>
  <c r="K11" i="15"/>
  <c r="I11" i="15"/>
  <c r="M10" i="14"/>
  <c r="G10" i="14"/>
  <c r="K10" i="14"/>
  <c r="P10" i="12"/>
  <c r="D11" i="14"/>
  <c r="G22" i="14"/>
  <c r="K22" i="14"/>
  <c r="I22" i="14"/>
  <c r="E70" i="17"/>
  <c r="F70" i="17" s="1"/>
  <c r="E120" i="17"/>
  <c r="F120" i="17" s="1"/>
  <c r="E176" i="17"/>
  <c r="F176" i="17" s="1"/>
  <c r="T34" i="5"/>
  <c r="R94" i="5"/>
  <c r="F218" i="17"/>
  <c r="F224" i="17" s="1"/>
  <c r="F226" i="17" s="1"/>
  <c r="F266" i="17" s="1"/>
  <c r="T45" i="5"/>
  <c r="E94" i="17"/>
  <c r="F94" i="17" s="1"/>
  <c r="T44" i="5"/>
  <c r="E92" i="17"/>
  <c r="F92" i="17" s="1"/>
  <c r="T81" i="5"/>
  <c r="E188" i="17"/>
  <c r="F188" i="17" s="1"/>
  <c r="G12" i="14"/>
  <c r="T27" i="5"/>
  <c r="E44" i="17"/>
  <c r="F44" i="17" s="1"/>
  <c r="T43" i="5"/>
  <c r="E90" i="17"/>
  <c r="F90" i="17" s="1"/>
  <c r="T23" i="5"/>
  <c r="E36" i="17"/>
  <c r="F36" i="17" s="1"/>
  <c r="T57" i="5"/>
  <c r="E122" i="17"/>
  <c r="F122" i="17" s="1"/>
  <c r="T63" i="5"/>
  <c r="E144" i="17"/>
  <c r="F144" i="17" s="1"/>
  <c r="T65" i="5"/>
  <c r="E148" i="17"/>
  <c r="F148" i="17" s="1"/>
  <c r="T82" i="5"/>
  <c r="E190" i="17"/>
  <c r="F190" i="17" s="1"/>
  <c r="K12" i="14"/>
  <c r="T29" i="5"/>
  <c r="E48" i="17"/>
  <c r="F48" i="17" s="1"/>
  <c r="M12" i="14"/>
  <c r="T36" i="5"/>
  <c r="E66" i="17"/>
  <c r="F66" i="17" s="1"/>
  <c r="T24" i="5"/>
  <c r="E38" i="17"/>
  <c r="F38" i="17" s="1"/>
  <c r="T80" i="5"/>
  <c r="E186" i="17"/>
  <c r="F186" i="17" s="1"/>
  <c r="T46" i="5"/>
  <c r="E96" i="17"/>
  <c r="F96" i="17" s="1"/>
  <c r="T66" i="5"/>
  <c r="E150" i="17"/>
  <c r="F150" i="17" s="1"/>
  <c r="T61" i="5"/>
  <c r="E140" i="17"/>
  <c r="F140" i="17" s="1"/>
  <c r="T78" i="5"/>
  <c r="E182" i="17"/>
  <c r="F182" i="17" s="1"/>
  <c r="T79" i="5"/>
  <c r="E184" i="17"/>
  <c r="F184" i="17" s="1"/>
  <c r="T77" i="5"/>
  <c r="E180" i="17"/>
  <c r="F180" i="17" s="1"/>
  <c r="T39" i="5"/>
  <c r="E72" i="17"/>
  <c r="F72" i="17" s="1"/>
  <c r="T62" i="5"/>
  <c r="E142" i="17"/>
  <c r="F142" i="17" s="1"/>
  <c r="G23" i="14"/>
  <c r="K23" i="14"/>
  <c r="I23" i="14"/>
  <c r="G13" i="15"/>
  <c r="M13" i="15"/>
  <c r="K13" i="15"/>
  <c r="M16" i="14"/>
  <c r="G3" i="14"/>
  <c r="K3" i="14"/>
  <c r="M3" i="14"/>
  <c r="K16" i="14"/>
  <c r="I16" i="14"/>
  <c r="K18" i="14"/>
  <c r="I15" i="14"/>
  <c r="M18" i="14"/>
  <c r="I18" i="14"/>
  <c r="G15" i="14"/>
  <c r="M15" i="14"/>
  <c r="K7" i="14"/>
  <c r="G7" i="14"/>
  <c r="I7" i="14"/>
  <c r="M7" i="14"/>
  <c r="G4" i="14"/>
  <c r="K4" i="14"/>
  <c r="M4" i="14"/>
  <c r="I4" i="14"/>
  <c r="K6" i="15"/>
  <c r="I6" i="15"/>
  <c r="G6" i="15"/>
  <c r="M6" i="15"/>
  <c r="I7" i="15" l="1"/>
  <c r="I15" i="15" s="1"/>
  <c r="G7" i="15"/>
  <c r="M7" i="15"/>
  <c r="K11" i="14"/>
  <c r="K26" i="14" s="1"/>
  <c r="M11" i="14"/>
  <c r="M26" i="14" s="1"/>
  <c r="G11" i="14"/>
  <c r="G26" i="14" s="1"/>
  <c r="I11" i="14"/>
  <c r="I26" i="14" s="1"/>
  <c r="F54" i="17"/>
  <c r="F82" i="17" s="1"/>
  <c r="F126" i="17"/>
  <c r="F134" i="17" s="1"/>
  <c r="F192" i="17"/>
  <c r="F264" i="17" s="1"/>
  <c r="T94" i="5"/>
  <c r="F158" i="17"/>
  <c r="F164" i="17" s="1"/>
  <c r="F166" i="17" s="1"/>
  <c r="F262" i="17" s="1"/>
  <c r="F108" i="17"/>
  <c r="F132" i="17" s="1"/>
  <c r="F76" i="17"/>
  <c r="F84" i="17" s="1"/>
  <c r="K15" i="15"/>
  <c r="M15" i="15"/>
  <c r="G15" i="15"/>
  <c r="F86" i="17" l="1"/>
  <c r="F258" i="17" s="1"/>
  <c r="F136" i="17"/>
  <c r="F260" i="17" s="1"/>
  <c r="F198" i="17"/>
  <c r="F200" i="17" s="1"/>
  <c r="F270" i="17" l="1"/>
</calcChain>
</file>

<file path=xl/sharedStrings.xml><?xml version="1.0" encoding="utf-8"?>
<sst xmlns="http://schemas.openxmlformats.org/spreadsheetml/2006/main" count="8251" uniqueCount="1587">
  <si>
    <t>S.No</t>
  </si>
  <si>
    <t>Unit</t>
  </si>
  <si>
    <t>Item</t>
  </si>
  <si>
    <t>Quantity</t>
  </si>
  <si>
    <t>Unit Code</t>
  </si>
  <si>
    <t>Unit Description</t>
  </si>
  <si>
    <t>UN001</t>
  </si>
  <si>
    <t>Metre</t>
  </si>
  <si>
    <t>m</t>
  </si>
  <si>
    <t>Square metre</t>
  </si>
  <si>
    <t>sqm</t>
  </si>
  <si>
    <t>Cubic metre</t>
  </si>
  <si>
    <t>cbm</t>
  </si>
  <si>
    <t>Feet</t>
  </si>
  <si>
    <t>ft</t>
  </si>
  <si>
    <t>Square feet</t>
  </si>
  <si>
    <t>Cubic feet</t>
  </si>
  <si>
    <t>cft</t>
  </si>
  <si>
    <t>Number</t>
  </si>
  <si>
    <t>Board</t>
  </si>
  <si>
    <t>board</t>
  </si>
  <si>
    <t>Each</t>
  </si>
  <si>
    <t>each</t>
  </si>
  <si>
    <t>Sheet</t>
  </si>
  <si>
    <t>sheet</t>
  </si>
  <si>
    <t>Litre</t>
  </si>
  <si>
    <t>ltr</t>
  </si>
  <si>
    <t>Millimetre</t>
  </si>
  <si>
    <t>mm</t>
  </si>
  <si>
    <t>Square millimetre</t>
  </si>
  <si>
    <t>Cubic millimetre</t>
  </si>
  <si>
    <t>Centimetre</t>
  </si>
  <si>
    <t>Square centimetre</t>
  </si>
  <si>
    <t>Cubic centimetre</t>
  </si>
  <si>
    <t>cm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</si>
  <si>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</si>
  <si>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</si>
  <si>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</si>
  <si>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</si>
  <si>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</si>
  <si>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</si>
  <si>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</si>
  <si>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</si>
  <si>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t>Gram</t>
  </si>
  <si>
    <t>gm</t>
  </si>
  <si>
    <t>Kilogram</t>
  </si>
  <si>
    <t>kg</t>
  </si>
  <si>
    <t>Ton</t>
  </si>
  <si>
    <t>Bars</t>
  </si>
  <si>
    <t>Tube</t>
  </si>
  <si>
    <t>Tin</t>
  </si>
  <si>
    <t>tin</t>
  </si>
  <si>
    <t>Can</t>
  </si>
  <si>
    <t>can</t>
  </si>
  <si>
    <t>tube</t>
  </si>
  <si>
    <t>bar</t>
  </si>
  <si>
    <t>ton</t>
  </si>
  <si>
    <t>Trip</t>
  </si>
  <si>
    <t>trip</t>
  </si>
  <si>
    <t>Hour</t>
  </si>
  <si>
    <t>hr</t>
  </si>
  <si>
    <t>Day</t>
  </si>
  <si>
    <t>day</t>
  </si>
  <si>
    <t>Lumpsum</t>
  </si>
  <si>
    <t>ls</t>
  </si>
  <si>
    <t>Length</t>
  </si>
  <si>
    <t>length</t>
  </si>
  <si>
    <t>Box</t>
  </si>
  <si>
    <t>box</t>
  </si>
  <si>
    <t>Bundle</t>
  </si>
  <si>
    <t>bundle</t>
  </si>
  <si>
    <t>Provisional Sum</t>
  </si>
  <si>
    <t>PS</t>
  </si>
  <si>
    <t>Cost</t>
  </si>
  <si>
    <t>cost</t>
  </si>
  <si>
    <t>Rate</t>
  </si>
  <si>
    <t>rate</t>
  </si>
  <si>
    <t>UN002</t>
  </si>
  <si>
    <t>UN003</t>
  </si>
  <si>
    <t>UN004</t>
  </si>
  <si>
    <t>UN005</t>
  </si>
  <si>
    <t>UN006</t>
  </si>
  <si>
    <t>UN007</t>
  </si>
  <si>
    <t>UN008</t>
  </si>
  <si>
    <t>UN009</t>
  </si>
  <si>
    <t>UN010</t>
  </si>
  <si>
    <t>UN011</t>
  </si>
  <si>
    <t>UN012</t>
  </si>
  <si>
    <t>UN013</t>
  </si>
  <si>
    <t>UN014</t>
  </si>
  <si>
    <t>UN015</t>
  </si>
  <si>
    <t>UN016</t>
  </si>
  <si>
    <t>UN017</t>
  </si>
  <si>
    <t>UN018</t>
  </si>
  <si>
    <t>UN019</t>
  </si>
  <si>
    <t>UN020</t>
  </si>
  <si>
    <t>UN021</t>
  </si>
  <si>
    <t>UN022</t>
  </si>
  <si>
    <t>UN023</t>
  </si>
  <si>
    <t>UN024</t>
  </si>
  <si>
    <t>UN025</t>
  </si>
  <si>
    <t>UN026</t>
  </si>
  <si>
    <t>UN027</t>
  </si>
  <si>
    <t>UN028</t>
  </si>
  <si>
    <t>UN029</t>
  </si>
  <si>
    <t>UN030</t>
  </si>
  <si>
    <t>UN031</t>
  </si>
  <si>
    <t>UN032</t>
  </si>
  <si>
    <t>UN033</t>
  </si>
  <si>
    <t>UN034</t>
  </si>
  <si>
    <t>Sl. No.</t>
  </si>
  <si>
    <t>Resource Description</t>
  </si>
  <si>
    <t>Resource Code</t>
  </si>
  <si>
    <t>Material</t>
  </si>
  <si>
    <t>Labour</t>
  </si>
  <si>
    <t>Plant</t>
  </si>
  <si>
    <t>Machinery</t>
  </si>
  <si>
    <t>Tools</t>
  </si>
  <si>
    <t>Equipment</t>
  </si>
  <si>
    <t>Sub-Contract</t>
  </si>
  <si>
    <t>Logistics</t>
  </si>
  <si>
    <t>Overhead</t>
  </si>
  <si>
    <t>Consumables</t>
  </si>
  <si>
    <t>Miscellaneous</t>
  </si>
  <si>
    <t>RM001</t>
  </si>
  <si>
    <t>RM002</t>
  </si>
  <si>
    <t>RM003</t>
  </si>
  <si>
    <t>RM004</t>
  </si>
  <si>
    <t>RM005</t>
  </si>
  <si>
    <t>RM006</t>
  </si>
  <si>
    <t>RM007</t>
  </si>
  <si>
    <t>RM008</t>
  </si>
  <si>
    <t>RM009</t>
  </si>
  <si>
    <t>RM010</t>
  </si>
  <si>
    <t>RM011</t>
  </si>
  <si>
    <t>RM012</t>
  </si>
  <si>
    <t>Boards</t>
  </si>
  <si>
    <t>Resource Category</t>
  </si>
  <si>
    <t>Resource Type</t>
  </si>
  <si>
    <t>Resource Category Code</t>
  </si>
  <si>
    <t>Resource Category Description</t>
  </si>
  <si>
    <t>Resource Sub-type</t>
  </si>
  <si>
    <t>Resource Unit</t>
  </si>
  <si>
    <t>Resource Specification</t>
  </si>
  <si>
    <t>Civil</t>
  </si>
  <si>
    <t>Cement</t>
  </si>
  <si>
    <t>Cement OPC 33 Grade</t>
  </si>
  <si>
    <t>Cement OPC 43 Grade</t>
  </si>
  <si>
    <t>Cement OPC 53 Grade</t>
  </si>
  <si>
    <t>Cement PPC 33 Grade</t>
  </si>
  <si>
    <t>Cement PPC 43 Grade</t>
  </si>
  <si>
    <t>Cement PPC 53 Grade</t>
  </si>
  <si>
    <t>Sand</t>
  </si>
  <si>
    <t>River Sand Grade A</t>
  </si>
  <si>
    <t>River Sand Grade B</t>
  </si>
  <si>
    <t>River Sand Grade C</t>
  </si>
  <si>
    <t>M-Sand Grade A</t>
  </si>
  <si>
    <t>M-Sand Grade B</t>
  </si>
  <si>
    <t>M-Sand Grade C</t>
  </si>
  <si>
    <t>P-Sand Grade A</t>
  </si>
  <si>
    <t>P-Sand Grade B</t>
  </si>
  <si>
    <t>P-Sand Grade C</t>
  </si>
  <si>
    <t>bag</t>
  </si>
  <si>
    <t>Bag</t>
  </si>
  <si>
    <t>UN035</t>
  </si>
  <si>
    <t>UN036</t>
  </si>
  <si>
    <t>unit</t>
  </si>
  <si>
    <t>1 bag = 3kg</t>
  </si>
  <si>
    <t>1 unit = 100 cft</t>
  </si>
  <si>
    <t>Water</t>
  </si>
  <si>
    <t>Water - Grade A</t>
  </si>
  <si>
    <t>Water - Grade B</t>
  </si>
  <si>
    <t>Water - Grade C</t>
  </si>
  <si>
    <t>Brick</t>
  </si>
  <si>
    <t>Brick Grade A</t>
  </si>
  <si>
    <t>Brick Grade B</t>
  </si>
  <si>
    <t>Brick Grade C</t>
  </si>
  <si>
    <t>nos</t>
  </si>
  <si>
    <t>Hollow Block Grade A</t>
  </si>
  <si>
    <t>Hollow Block Grade B</t>
  </si>
  <si>
    <t>Hollow Block Grade C</t>
  </si>
  <si>
    <t>Solid Block Grade A</t>
  </si>
  <si>
    <t>Solid Block Grade B</t>
  </si>
  <si>
    <t>Solid Block Grade C</t>
  </si>
  <si>
    <t>CIV-M-CEM-001</t>
  </si>
  <si>
    <t>CIV-M-CEM-002</t>
  </si>
  <si>
    <t>CIV-M-CEM-003</t>
  </si>
  <si>
    <t>CIV-M-CEM-004</t>
  </si>
  <si>
    <t>CIV-M-CEM-005</t>
  </si>
  <si>
    <t>CIV-M-CEM-006</t>
  </si>
  <si>
    <t>CIV-M-SND-001</t>
  </si>
  <si>
    <t>CIV-M-SND-002</t>
  </si>
  <si>
    <t>CIV-M-SND-003</t>
  </si>
  <si>
    <t>CIV-M-SND-004</t>
  </si>
  <si>
    <t>CIV-M-SND-005</t>
  </si>
  <si>
    <t>CIV-M-SND-006</t>
  </si>
  <si>
    <t>CIV-M-SND-007</t>
  </si>
  <si>
    <t>CIV-M-SND-008</t>
  </si>
  <si>
    <t>CIV-M-SND-009</t>
  </si>
  <si>
    <t>CIV-M-SND-010</t>
  </si>
  <si>
    <t>Reinforcement - 9mm</t>
  </si>
  <si>
    <t>Reinforcement - 6mm</t>
  </si>
  <si>
    <t>Reinforcement - 12mm</t>
  </si>
  <si>
    <t>Reinforcement - 15mm</t>
  </si>
  <si>
    <t>Reinforcement - 18mm</t>
  </si>
  <si>
    <t>Reinforcement - 22mm</t>
  </si>
  <si>
    <t>Reinforcement - 25mm</t>
  </si>
  <si>
    <t>Reinforcement - 30mm</t>
  </si>
  <si>
    <t>Reinforcement - 40mm</t>
  </si>
  <si>
    <t>rod</t>
  </si>
  <si>
    <t>1 rod = 11 m or 33 ft</t>
  </si>
  <si>
    <t>Steel</t>
  </si>
  <si>
    <t>Binding Wire</t>
  </si>
  <si>
    <t>CIV-M-WTR-001</t>
  </si>
  <si>
    <t>CIV-M-WTR-003</t>
  </si>
  <si>
    <t>CIV-M-WTR-002</t>
  </si>
  <si>
    <t>CIV-M-BRK-001</t>
  </si>
  <si>
    <t>CIV-M-STL-001</t>
  </si>
  <si>
    <t>CIV-M-BRK-002</t>
  </si>
  <si>
    <t>CIV-M-BRK-003</t>
  </si>
  <si>
    <t>CIV-M-BRK-004</t>
  </si>
  <si>
    <t>CIV-M-BRK-005</t>
  </si>
  <si>
    <t>CIV-M-BRK-006</t>
  </si>
  <si>
    <t>CIV-M-BRK-007</t>
  </si>
  <si>
    <t>CIV-M-BRK-008</t>
  </si>
  <si>
    <t>CIV-M-BRK-009</t>
  </si>
  <si>
    <t>CIV-M-STL-002</t>
  </si>
  <si>
    <t>CIV-M-STL-003</t>
  </si>
  <si>
    <t>CIV-M-STL-004</t>
  </si>
  <si>
    <t>CIV-M-STL-005</t>
  </si>
  <si>
    <t>CIV-M-STL-006</t>
  </si>
  <si>
    <t>CIV-M-STL-007</t>
  </si>
  <si>
    <t>CIV-M-STL-008</t>
  </si>
  <si>
    <t>CIV-M-STL-009</t>
  </si>
  <si>
    <t>CIV-M-STL-010</t>
  </si>
  <si>
    <t>ID</t>
  </si>
  <si>
    <t>ID-M-BRD-001</t>
  </si>
  <si>
    <t>3mm MDF - Normal</t>
  </si>
  <si>
    <t>4mm MDF - Normal</t>
  </si>
  <si>
    <t>6mm MDF - Normal</t>
  </si>
  <si>
    <t>9mm MDF - Normal</t>
  </si>
  <si>
    <t>12mm MDF - Normal</t>
  </si>
  <si>
    <t>15mm MDF - Normal</t>
  </si>
  <si>
    <t>18mm MDF - Normal</t>
  </si>
  <si>
    <t>22mm MDF - Normal</t>
  </si>
  <si>
    <t>25mm MDF - Normal</t>
  </si>
  <si>
    <t>30mm MDF - Normal</t>
  </si>
  <si>
    <t>40mm MDF - Normal</t>
  </si>
  <si>
    <t>3mm MDF - MR Grade</t>
  </si>
  <si>
    <t>4mm MDF - MR Grade</t>
  </si>
  <si>
    <t>6mm MDF - MR Grade</t>
  </si>
  <si>
    <t>9mm MDF - MR Grade</t>
  </si>
  <si>
    <t>12mm MDF - MR Grade</t>
  </si>
  <si>
    <t>15mm MDF - MR Grade</t>
  </si>
  <si>
    <t>18mm MDF - MR Grade</t>
  </si>
  <si>
    <t>22mm MDF - MR Grade</t>
  </si>
  <si>
    <t>25mm MDF - MR Grade</t>
  </si>
  <si>
    <t>30mm MDF - MR Grade</t>
  </si>
  <si>
    <t>40mm MDF - MR Grade</t>
  </si>
  <si>
    <t>3mm MDF - FR Grade</t>
  </si>
  <si>
    <t>4mm MDF - FR Grade</t>
  </si>
  <si>
    <t>6mm MDF - FR Grade</t>
  </si>
  <si>
    <t>9mm MDF - FR Grade</t>
  </si>
  <si>
    <t>12mm MDF - FR Grade</t>
  </si>
  <si>
    <t>15mm MDF - FR Grade</t>
  </si>
  <si>
    <t>18mm MDF - FR Grade</t>
  </si>
  <si>
    <t>22mm MDF - FR Grade</t>
  </si>
  <si>
    <t>25mm MDF - FR Grade</t>
  </si>
  <si>
    <t>30mm MDF - FR Grade</t>
  </si>
  <si>
    <t>40mm MDF - FR Grade</t>
  </si>
  <si>
    <t>3mm MDF - FR &amp; MR Grade</t>
  </si>
  <si>
    <t>4mm MDF - FR &amp; MR Grade</t>
  </si>
  <si>
    <t>6mm MDF - FR &amp; MR Grade</t>
  </si>
  <si>
    <t>9mm MDF - FR &amp; MR Grade</t>
  </si>
  <si>
    <t>12mm MDF - FR &amp; MR Grade</t>
  </si>
  <si>
    <t>15mm MDF - FR &amp; MR Grade</t>
  </si>
  <si>
    <t>18mm MDF - FR &amp; MR Grade</t>
  </si>
  <si>
    <t>22mm MDF - FR &amp; MR Grade</t>
  </si>
  <si>
    <t>25mm MDF - FR &amp; MR Grade</t>
  </si>
  <si>
    <t>30mm MDF - FR &amp; MR Grade</t>
  </si>
  <si>
    <t>40mm MDF - FR &amp; MR Grade</t>
  </si>
  <si>
    <t>ID-M-BRD-002</t>
  </si>
  <si>
    <t>ID-M-BRD-003</t>
  </si>
  <si>
    <t>ID-M-BRD-004</t>
  </si>
  <si>
    <t>ID-M-BRD-005</t>
  </si>
  <si>
    <t>ID-M-BRD-006</t>
  </si>
  <si>
    <t>ID-M-BRD-007</t>
  </si>
  <si>
    <t>ID-M-BRD-008</t>
  </si>
  <si>
    <t>ID-M-BRD-009</t>
  </si>
  <si>
    <t>ID-M-BRD-010</t>
  </si>
  <si>
    <t>ID-M-BRD-011</t>
  </si>
  <si>
    <t>ID-M-BRD-012</t>
  </si>
  <si>
    <t>ID-M-BRD-013</t>
  </si>
  <si>
    <t>ID-M-BRD-014</t>
  </si>
  <si>
    <t>ID-M-BRD-015</t>
  </si>
  <si>
    <t>ID-M-BRD-016</t>
  </si>
  <si>
    <t>ID-M-BRD-017</t>
  </si>
  <si>
    <t>ID-M-BRD-018</t>
  </si>
  <si>
    <t>ID-M-BRD-019</t>
  </si>
  <si>
    <t>ID-M-BRD-020</t>
  </si>
  <si>
    <t>ID-M-BRD-021</t>
  </si>
  <si>
    <t>ID-M-BRD-022</t>
  </si>
  <si>
    <t>ID-M-BRD-023</t>
  </si>
  <si>
    <t>ID-M-BRD-024</t>
  </si>
  <si>
    <t>ID-M-BRD-025</t>
  </si>
  <si>
    <t>ID-M-BRD-026</t>
  </si>
  <si>
    <t>ID-M-BRD-027</t>
  </si>
  <si>
    <t>ID-M-BRD-028</t>
  </si>
  <si>
    <t>ID-M-BRD-029</t>
  </si>
  <si>
    <t>ID-M-BRD-030</t>
  </si>
  <si>
    <t>ID-M-BRD-031</t>
  </si>
  <si>
    <t>ID-M-BRD-032</t>
  </si>
  <si>
    <t>ID-M-BRD-033</t>
  </si>
  <si>
    <t>ID-M-BRD-034</t>
  </si>
  <si>
    <t>ID-M-BRD-035</t>
  </si>
  <si>
    <t>ID-M-BRD-036</t>
  </si>
  <si>
    <t>ID-M-BRD-037</t>
  </si>
  <si>
    <t>ID-M-BRD-038</t>
  </si>
  <si>
    <t>ID-M-BRD-039</t>
  </si>
  <si>
    <t>ID-M-BRD-040</t>
  </si>
  <si>
    <t>ID-M-BRD-041</t>
  </si>
  <si>
    <t>ID-M-BRD-042</t>
  </si>
  <si>
    <t>ID-M-BRD-043</t>
  </si>
  <si>
    <t>ID-M-BRD-044</t>
  </si>
  <si>
    <t>1220 x 2440mm</t>
  </si>
  <si>
    <t>3mm Chipboard - Normal</t>
  </si>
  <si>
    <t>4mm Chipboard - Normal</t>
  </si>
  <si>
    <t>6mm Chipboard - Normal</t>
  </si>
  <si>
    <t>9mm Chipboard - Normal</t>
  </si>
  <si>
    <t>12mm Chipboard - Normal</t>
  </si>
  <si>
    <t>15mm Chipboard - Normal</t>
  </si>
  <si>
    <t>18mm Chipboard - Normal</t>
  </si>
  <si>
    <t>22mm Chipboard - Normal</t>
  </si>
  <si>
    <t>25mm Chipboard - Normal</t>
  </si>
  <si>
    <t>30mm Chipboard - Normal</t>
  </si>
  <si>
    <t>40mm Chipboard - Normal</t>
  </si>
  <si>
    <t>3mm Chipboard - MR Grade</t>
  </si>
  <si>
    <t>4mm Chipboard - MR Grade</t>
  </si>
  <si>
    <t>6mm Chipboard - MR Grade</t>
  </si>
  <si>
    <t>9mm Chipboard - MR Grade</t>
  </si>
  <si>
    <t>12mm Chipboard - MR Grade</t>
  </si>
  <si>
    <t>15mm Chipboard - MR Grade</t>
  </si>
  <si>
    <t>18mm Chipboard - MR Grade</t>
  </si>
  <si>
    <t>22mm Chipboard - MR Grade</t>
  </si>
  <si>
    <t>25mm Chipboard - MR Grade</t>
  </si>
  <si>
    <t>30mm Chipboard - MR Grade</t>
  </si>
  <si>
    <t>40mm Chipboard - MR Grade</t>
  </si>
  <si>
    <t>3mm Chipboard - FR Grade</t>
  </si>
  <si>
    <t>4mm Chipboard - FR Grade</t>
  </si>
  <si>
    <t>6mm Chipboard - FR Grade</t>
  </si>
  <si>
    <t>9mm Chipboard - FR Grade</t>
  </si>
  <si>
    <t>12mm Chipboard - FR Grade</t>
  </si>
  <si>
    <t>15mm Chipboard - FR Grade</t>
  </si>
  <si>
    <t>18mm Chipboard - FR Grade</t>
  </si>
  <si>
    <t>22mm Chipboard - FR Grade</t>
  </si>
  <si>
    <t>25mm Chipboard - FR Grade</t>
  </si>
  <si>
    <t>30mm Chipboard - FR Grade</t>
  </si>
  <si>
    <t>40mm Chipboard - FR Grade</t>
  </si>
  <si>
    <t>3mm Chipboard - FR &amp; MR Grade</t>
  </si>
  <si>
    <t>4mm Chipboard - FR &amp; MR Grade</t>
  </si>
  <si>
    <t>6mm Chipboard - FR &amp; MR Grade</t>
  </si>
  <si>
    <t>9mm Chipboard - FR &amp; MR Grade</t>
  </si>
  <si>
    <t>12mm Chipboard - FR &amp; MR Grade</t>
  </si>
  <si>
    <t>15mm Chipboard - FR &amp; MR Grade</t>
  </si>
  <si>
    <t>18mm Chipboard - FR &amp; MR Grade</t>
  </si>
  <si>
    <t>22mm Chipboard - FR &amp; MR Grade</t>
  </si>
  <si>
    <t>25mm Chipboard - FR &amp; MR Grade</t>
  </si>
  <si>
    <t>30mm Chipboard - FR &amp; MR Grade</t>
  </si>
  <si>
    <t>40mm Chipboard - FR &amp; MR Grade</t>
  </si>
  <si>
    <t>3mm MF MDF - Normal - 1F</t>
  </si>
  <si>
    <t>4mm MF MDF - Normal - 1F</t>
  </si>
  <si>
    <t>6mm MF MDF - Normal - 1F</t>
  </si>
  <si>
    <t>9mm MF MDF - Normal - 1F</t>
  </si>
  <si>
    <t>12mm MF MDF - Normal - 1F</t>
  </si>
  <si>
    <t>15mm MF MDF - Normal - 1F</t>
  </si>
  <si>
    <t>18mm MF MDF - Normal - 1F</t>
  </si>
  <si>
    <t>22mm MF MDF - Normal - 1F</t>
  </si>
  <si>
    <t>25mm MF MDF - Normal - 1F</t>
  </si>
  <si>
    <t>30mm MF MDF - Normal - 1F</t>
  </si>
  <si>
    <t>40mm MF MDF - Normal - 1F</t>
  </si>
  <si>
    <t>3mm MF MDF - MR Grade - 1F</t>
  </si>
  <si>
    <t>4mm MF MDF - MR Grade - 1F</t>
  </si>
  <si>
    <t>6mm MF MDF - MR Grade - 1F</t>
  </si>
  <si>
    <t>9mm MF MDF - MR Grade - 1F</t>
  </si>
  <si>
    <t>12mm MF MDF - MR Grade - 1F</t>
  </si>
  <si>
    <t>15mm MF MDF - MR Grade - 1F</t>
  </si>
  <si>
    <t>18mm MF MDF - MR Grade - 1F</t>
  </si>
  <si>
    <t>22mm MF MDF - MR Grade - 1F</t>
  </si>
  <si>
    <t>25mm MF MDF - MR Grade - 1F</t>
  </si>
  <si>
    <t>30mm MF MDF - MR Grade - 1F</t>
  </si>
  <si>
    <t>40mm MF MDF - MR Grade - 1F</t>
  </si>
  <si>
    <t>3mm MF MDF - FR Grade - 1F</t>
  </si>
  <si>
    <t>4mm MF MDF - FR Grade - 1F</t>
  </si>
  <si>
    <t>6mm MF MDF - FR Grade - 1F</t>
  </si>
  <si>
    <t>9mm MF MDF - FR Grade - 1F</t>
  </si>
  <si>
    <t>12mm MF MDF - FR Grade - 1F</t>
  </si>
  <si>
    <t>15mm MF MDF - FR Grade - 1F</t>
  </si>
  <si>
    <t>18mm MF MDF - FR Grade - 1F</t>
  </si>
  <si>
    <t>22mm MF MDF - FR Grade - 1F</t>
  </si>
  <si>
    <t>25mm MF MDF - FR Grade - 1F</t>
  </si>
  <si>
    <t>30mm MF MDF - FR Grade - 1F</t>
  </si>
  <si>
    <t>40mm MF MDF - FR Grade - 1F</t>
  </si>
  <si>
    <t>3mm MF MDF - FR &amp; MR Grade - 1F</t>
  </si>
  <si>
    <t>4mm MF MDF - FR &amp; MR Grade - 1F</t>
  </si>
  <si>
    <t>6mm MF MDF - FR &amp; MR Grade - 1F</t>
  </si>
  <si>
    <t>9mm MF MDF - FR &amp; MR Grade - 1F</t>
  </si>
  <si>
    <t>12mm MF MDF - FR &amp; MR Grade - 1F</t>
  </si>
  <si>
    <t>15mm MF MDF - FR &amp; MR Grade - 1F</t>
  </si>
  <si>
    <t>18mm MF MDF - FR &amp; MR Grade - 1F</t>
  </si>
  <si>
    <t>22mm MF MDF - FR &amp; MR Grade - 1F</t>
  </si>
  <si>
    <t>25mm MF MDF - FR &amp; MR Grade - 1F</t>
  </si>
  <si>
    <t>30mm MF MDF - FR &amp; MR Grade - 1F</t>
  </si>
  <si>
    <t>40mm MF MDF - FR &amp; MR Grade - 1F</t>
  </si>
  <si>
    <t>3mm MF MDF - Normal - 2F</t>
  </si>
  <si>
    <t>4mm MF MDF - Normal - 2F</t>
  </si>
  <si>
    <t>6mm MF MDF - Normal - 2F</t>
  </si>
  <si>
    <t>9mm MF MDF - Normal - 2F</t>
  </si>
  <si>
    <t>12mm MF MDF - Normal - 2F</t>
  </si>
  <si>
    <t>15mm MF MDF - Normal - 2F</t>
  </si>
  <si>
    <t>18mm MF MDF - Normal - 2F</t>
  </si>
  <si>
    <t>22mm MF MDF - Normal - 2F</t>
  </si>
  <si>
    <t>25mm MF MDF - Normal - 2F</t>
  </si>
  <si>
    <t>30mm MF MDF - Normal - 2F</t>
  </si>
  <si>
    <t>40mm MF MDF - Normal - 2F</t>
  </si>
  <si>
    <t>3mm MF MDF - MR Grade - 2F</t>
  </si>
  <si>
    <t>4mm MF MDF - MR Grade - 2F</t>
  </si>
  <si>
    <t>6mm MF MDF - MR Grade - 2F</t>
  </si>
  <si>
    <t>9mm MF MDF - MR Grade - 2F</t>
  </si>
  <si>
    <t>12mm MF MDF - MR Grade - 2F</t>
  </si>
  <si>
    <t>15mm MF MDF - MR Grade - 2F</t>
  </si>
  <si>
    <t>18mm MF MDF - MR Grade - 2F</t>
  </si>
  <si>
    <t>22mm MF MDF - MR Grade - 2F</t>
  </si>
  <si>
    <t>25mm MF MDF - MR Grade - 2F</t>
  </si>
  <si>
    <t>30mm MF MDF - MR Grade - 2F</t>
  </si>
  <si>
    <t>40mm MF MDF - MR Grade - 2F</t>
  </si>
  <si>
    <t>3mm MF MDF - FR Grade - 2F</t>
  </si>
  <si>
    <t>4mm MF MDF - FR Grade - 2F</t>
  </si>
  <si>
    <t>6mm MF MDF - FR Grade - 2F</t>
  </si>
  <si>
    <t>9mm MF MDF - FR Grade - 2F</t>
  </si>
  <si>
    <t>12mm MF MDF - FR Grade - 2F</t>
  </si>
  <si>
    <t>15mm MF MDF - FR Grade - 2F</t>
  </si>
  <si>
    <t>18mm MF MDF - FR Grade - 2F</t>
  </si>
  <si>
    <t>22mm MF MDF - FR Grade - 2F</t>
  </si>
  <si>
    <t>25mm MF MDF - FR Grade - 2F</t>
  </si>
  <si>
    <t>30mm MF MDF - FR Grade - 2F</t>
  </si>
  <si>
    <t>40mm MF MDF - FR Grade - 2F</t>
  </si>
  <si>
    <t>3mm MF MDF - FR &amp; MR Grade - 2F</t>
  </si>
  <si>
    <t>4mm MF MDF - FR &amp; MR Grade - 2F</t>
  </si>
  <si>
    <t>6mm MF MDF - FR &amp; MR Grade - 2F</t>
  </si>
  <si>
    <t>9mm MF MDF - FR &amp; MR Grade - 2F</t>
  </si>
  <si>
    <t>12mm MF MDF - FR &amp; MR Grade - 2F</t>
  </si>
  <si>
    <t>15mm MF MDF - FR &amp; MR Grade - 2F</t>
  </si>
  <si>
    <t>18mm MF MDF - FR &amp; MR Grade - 2F</t>
  </si>
  <si>
    <t>22mm MF MDF - FR &amp; MR Grade - 2F</t>
  </si>
  <si>
    <t>25mm MF MDF - FR &amp; MR Grade - 2F</t>
  </si>
  <si>
    <t>30mm MF MDF - FR &amp; MR Grade - 2F</t>
  </si>
  <si>
    <t>40mm MF MDF - FR &amp; MR Grade - 2F</t>
  </si>
  <si>
    <t>3mm or MF Chipboard - 1F</t>
  </si>
  <si>
    <t>4mm or MF Chipboard - 1F</t>
  </si>
  <si>
    <t>6mm or MF Chipboard - 1F</t>
  </si>
  <si>
    <t>9mm or MF Chipboard - 1F</t>
  </si>
  <si>
    <t>12mm or MF Chipboard - 1F</t>
  </si>
  <si>
    <t>15mm or MF Chipboard - 1F</t>
  </si>
  <si>
    <t>18mm or MF Chipboard - 1F</t>
  </si>
  <si>
    <t>22mm or MF Chipboard - 1F</t>
  </si>
  <si>
    <t>25mm or MF Chipboard - 1F</t>
  </si>
  <si>
    <t>30mm or MF Chipboard - 1F</t>
  </si>
  <si>
    <t>40mm or MF Chipboard - 1F</t>
  </si>
  <si>
    <t>3mm or MF Chipboard - 2F</t>
  </si>
  <si>
    <t>4mm or MF Chipboard - 2F</t>
  </si>
  <si>
    <t>6mm or MF Chipboard - 2F</t>
  </si>
  <si>
    <t>9mm or MF Chipboard - 2F</t>
  </si>
  <si>
    <t>12mm or MF Chipboard - 2F</t>
  </si>
  <si>
    <t>15mm or MF Chipboard - 2F</t>
  </si>
  <si>
    <t>18mm or MF Chipboard - 2F</t>
  </si>
  <si>
    <t>22mm or MF Chipboard - 2F</t>
  </si>
  <si>
    <t>25mm or MF Chipboard - 2F</t>
  </si>
  <si>
    <t>30mm or MF Chipboard - 2F</t>
  </si>
  <si>
    <t>40mm or MF Chipboard - 2F</t>
  </si>
  <si>
    <t>ID-M-BRD-045</t>
  </si>
  <si>
    <t>ID-M-BRD-046</t>
  </si>
  <si>
    <t>ID-M-BRD-047</t>
  </si>
  <si>
    <t>ID-M-BRD-048</t>
  </si>
  <si>
    <t>ID-M-BRD-049</t>
  </si>
  <si>
    <t>ID-M-BRD-050</t>
  </si>
  <si>
    <t>ID-M-BRD-051</t>
  </si>
  <si>
    <t>ID-M-BRD-052</t>
  </si>
  <si>
    <t>ID-M-BRD-053</t>
  </si>
  <si>
    <t>ID-M-BRD-054</t>
  </si>
  <si>
    <t>ID-M-BRD-055</t>
  </si>
  <si>
    <t>ID-M-BRD-056</t>
  </si>
  <si>
    <t>ID-M-BRD-057</t>
  </si>
  <si>
    <t>ID-M-BRD-058</t>
  </si>
  <si>
    <t>ID-M-BRD-059</t>
  </si>
  <si>
    <t>ID-M-BRD-060</t>
  </si>
  <si>
    <t>ID-M-BRD-061</t>
  </si>
  <si>
    <t>ID-M-BRD-062</t>
  </si>
  <si>
    <t>ID-M-BRD-063</t>
  </si>
  <si>
    <t>ID-M-BRD-064</t>
  </si>
  <si>
    <t>ID-M-BRD-065</t>
  </si>
  <si>
    <t>ID-M-BRD-066</t>
  </si>
  <si>
    <t>ID-M-BRD-067</t>
  </si>
  <si>
    <t>ID-M-BRD-068</t>
  </si>
  <si>
    <t>ID-M-BRD-069</t>
  </si>
  <si>
    <t>ID-M-BRD-070</t>
  </si>
  <si>
    <t>ID-M-BRD-071</t>
  </si>
  <si>
    <t>ID-M-BRD-072</t>
  </si>
  <si>
    <t>ID-M-BRD-073</t>
  </si>
  <si>
    <t>ID-M-BRD-074</t>
  </si>
  <si>
    <t>ID-M-BRD-075</t>
  </si>
  <si>
    <t>ID-M-BRD-076</t>
  </si>
  <si>
    <t>ID-M-BRD-077</t>
  </si>
  <si>
    <t>ID-M-BRD-078</t>
  </si>
  <si>
    <t>ID-M-BRD-079</t>
  </si>
  <si>
    <t>ID-M-BRD-080</t>
  </si>
  <si>
    <t>ID-M-BRD-081</t>
  </si>
  <si>
    <t>ID-M-BRD-082</t>
  </si>
  <si>
    <t>ID-M-BRD-083</t>
  </si>
  <si>
    <t>ID-M-BRD-084</t>
  </si>
  <si>
    <t>ID-M-BRD-085</t>
  </si>
  <si>
    <t>ID-M-BRD-086</t>
  </si>
  <si>
    <t>ID-M-BRD-087</t>
  </si>
  <si>
    <t>ID-M-BRD-088</t>
  </si>
  <si>
    <t>ID-M-BRD-089</t>
  </si>
  <si>
    <t>ID-M-BRD-090</t>
  </si>
  <si>
    <t>ID-M-BRD-091</t>
  </si>
  <si>
    <t>ID-M-BRD-092</t>
  </si>
  <si>
    <t>ID-M-BRD-093</t>
  </si>
  <si>
    <t>ID-M-BRD-094</t>
  </si>
  <si>
    <t>ID-M-BRD-095</t>
  </si>
  <si>
    <t>ID-M-BRD-096</t>
  </si>
  <si>
    <t>ID-M-BRD-097</t>
  </si>
  <si>
    <t>ID-M-BRD-098</t>
  </si>
  <si>
    <t>ID-M-BRD-099</t>
  </si>
  <si>
    <t>ID-M-BRD-100</t>
  </si>
  <si>
    <t>ID-M-BRD-101</t>
  </si>
  <si>
    <t>ID-M-BRD-102</t>
  </si>
  <si>
    <t>ID-M-BRD-103</t>
  </si>
  <si>
    <t>ID-M-BRD-104</t>
  </si>
  <si>
    <t>ID-M-BRD-105</t>
  </si>
  <si>
    <t>ID-M-BRD-106</t>
  </si>
  <si>
    <t>ID-M-BRD-107</t>
  </si>
  <si>
    <t>ID-M-BRD-108</t>
  </si>
  <si>
    <t>ID-M-BRD-109</t>
  </si>
  <si>
    <t>ID-M-BRD-110</t>
  </si>
  <si>
    <t>ID-M-BRD-111</t>
  </si>
  <si>
    <t>ID-M-BRD-112</t>
  </si>
  <si>
    <t>ID-M-BRD-113</t>
  </si>
  <si>
    <t>ID-M-BRD-114</t>
  </si>
  <si>
    <t>ID-M-BRD-115</t>
  </si>
  <si>
    <t>ID-M-BRD-116</t>
  </si>
  <si>
    <t>ID-M-BRD-117</t>
  </si>
  <si>
    <t>ID-M-BRD-118</t>
  </si>
  <si>
    <t>ID-M-BRD-119</t>
  </si>
  <si>
    <t>ID-M-BRD-120</t>
  </si>
  <si>
    <t>ID-M-BRD-121</t>
  </si>
  <si>
    <t>ID-M-BRD-122</t>
  </si>
  <si>
    <t>ID-M-BRD-123</t>
  </si>
  <si>
    <t>ID-M-BRD-124</t>
  </si>
  <si>
    <t>ID-M-BRD-125</t>
  </si>
  <si>
    <t>ID-M-BRD-126</t>
  </si>
  <si>
    <t>ID-M-BRD-127</t>
  </si>
  <si>
    <t>ID-M-BRD-128</t>
  </si>
  <si>
    <t>ID-M-BRD-129</t>
  </si>
  <si>
    <t>ID-M-BRD-130</t>
  </si>
  <si>
    <t>ID-M-BRD-131</t>
  </si>
  <si>
    <t>ID-M-BRD-132</t>
  </si>
  <si>
    <t>ID-M-BRD-133</t>
  </si>
  <si>
    <t>ID-M-BRD-134</t>
  </si>
  <si>
    <t>ID-M-BRD-135</t>
  </si>
  <si>
    <t>ID-M-BRD-136</t>
  </si>
  <si>
    <t>ID-M-BRD-137</t>
  </si>
  <si>
    <t>ID-M-BRD-138</t>
  </si>
  <si>
    <t>ID-M-BRD-139</t>
  </si>
  <si>
    <t>ID-M-BRD-140</t>
  </si>
  <si>
    <t>ID-M-BRD-141</t>
  </si>
  <si>
    <t>ID-M-BRD-142</t>
  </si>
  <si>
    <t>ID-M-BRD-143</t>
  </si>
  <si>
    <t>ID-M-BRD-144</t>
  </si>
  <si>
    <t>ID-M-BRD-145</t>
  </si>
  <si>
    <t>ID-M-BRD-146</t>
  </si>
  <si>
    <t>ID-M-BRD-147</t>
  </si>
  <si>
    <t>ID-M-BRD-148</t>
  </si>
  <si>
    <t>ID-M-BRD-149</t>
  </si>
  <si>
    <t>ID-M-BRD-150</t>
  </si>
  <si>
    <t>ID-M-BRD-151</t>
  </si>
  <si>
    <t>ID-M-BRD-152</t>
  </si>
  <si>
    <t>ID-M-BRD-153</t>
  </si>
  <si>
    <t>ID-M-BRD-154</t>
  </si>
  <si>
    <t>ID-M-BRD-155</t>
  </si>
  <si>
    <t>ID-M-BRD-156</t>
  </si>
  <si>
    <t>ID-M-BRD-157</t>
  </si>
  <si>
    <t>ID-M-BRD-158</t>
  </si>
  <si>
    <t>ID-M-BRD-159</t>
  </si>
  <si>
    <t>ID-M-BRD-160</t>
  </si>
  <si>
    <t>ID-M-BRD-161</t>
  </si>
  <si>
    <t>ID-M-BRD-162</t>
  </si>
  <si>
    <t>ID-M-BRD-163</t>
  </si>
  <si>
    <t>ID-M-BRD-164</t>
  </si>
  <si>
    <t>ID-M-BRD-165</t>
  </si>
  <si>
    <t>ID-M-BRD-166</t>
  </si>
  <si>
    <t>ID-M-BRD-167</t>
  </si>
  <si>
    <t>ID-M-BRD-168</t>
  </si>
  <si>
    <t>ID-M-BRD-169</t>
  </si>
  <si>
    <t>ID-M-BRD-170</t>
  </si>
  <si>
    <t>ID-M-BRD-171</t>
  </si>
  <si>
    <t>ID-M-BRD-172</t>
  </si>
  <si>
    <t>ID-M-BRD-173</t>
  </si>
  <si>
    <t>ID-M-BRD-174</t>
  </si>
  <si>
    <t>ID-M-BRD-175</t>
  </si>
  <si>
    <t>ID-M-BRD-176</t>
  </si>
  <si>
    <t>ID-M-BRD-177</t>
  </si>
  <si>
    <t>ID-M-BRD-178</t>
  </si>
  <si>
    <t>ID-M-BRD-179</t>
  </si>
  <si>
    <t>ID-M-BRD-180</t>
  </si>
  <si>
    <t>ID-M-BRD-181</t>
  </si>
  <si>
    <t>ID-M-BRD-182</t>
  </si>
  <si>
    <t>ID-M-BRD-183</t>
  </si>
  <si>
    <t>ID-M-BRD-184</t>
  </si>
  <si>
    <t>ID-M-BRD-185</t>
  </si>
  <si>
    <t>ID-M-BRD-186</t>
  </si>
  <si>
    <t>ID-M-BRD-187</t>
  </si>
  <si>
    <t>ID-M-BRD-188</t>
  </si>
  <si>
    <t>ID-M-BRD-189</t>
  </si>
  <si>
    <t>ID-M-BRD-190</t>
  </si>
  <si>
    <t>ID-M-BRD-191</t>
  </si>
  <si>
    <t>ID-M-BRD-192</t>
  </si>
  <si>
    <t>ID-M-BRD-193</t>
  </si>
  <si>
    <t>ID-M-BRD-194</t>
  </si>
  <si>
    <t>ID-M-BRD-195</t>
  </si>
  <si>
    <t>ID-M-BRD-196</t>
  </si>
  <si>
    <t>ID-M-BRD-197</t>
  </si>
  <si>
    <t>ID-M-BRD-198</t>
  </si>
  <si>
    <t>ID-M-BRD-199</t>
  </si>
  <si>
    <t>ID-M-BRD-200</t>
  </si>
  <si>
    <t>ID-M-BRD-201</t>
  </si>
  <si>
    <t>ID-M-BRD-202</t>
  </si>
  <si>
    <t>ID-M-BRD-203</t>
  </si>
  <si>
    <t>ID-M-BRD-204</t>
  </si>
  <si>
    <t>ID-M-BRD-205</t>
  </si>
  <si>
    <t>ID-M-BRD-206</t>
  </si>
  <si>
    <t>ID-M-BRD-207</t>
  </si>
  <si>
    <t>ID-M-BRD-208</t>
  </si>
  <si>
    <t>ID-M-BRD-209</t>
  </si>
  <si>
    <t>ID-M-BRD-210</t>
  </si>
  <si>
    <t>ID-M-BRD-211</t>
  </si>
  <si>
    <t>ID-M-BRD-212</t>
  </si>
  <si>
    <t>ID-M-BRD-213</t>
  </si>
  <si>
    <t>ID-M-BRD-214</t>
  </si>
  <si>
    <t>ID-M-BRD-215</t>
  </si>
  <si>
    <t>ID-M-BRD-216</t>
  </si>
  <si>
    <t>ID-M-BRD-217</t>
  </si>
  <si>
    <t>ID-M-BRD-218</t>
  </si>
  <si>
    <t>ID-M-BRD-219</t>
  </si>
  <si>
    <t>ID-M-BRD-220</t>
  </si>
  <si>
    <t>ID-M-BRD-221</t>
  </si>
  <si>
    <t>ID-M-BRD-222</t>
  </si>
  <si>
    <t>ID-M-BRD-223</t>
  </si>
  <si>
    <t>ID-M-BRD-224</t>
  </si>
  <si>
    <t>ID-M-BRD-225</t>
  </si>
  <si>
    <t>ID-M-BRD-226</t>
  </si>
  <si>
    <t>ID-M-BRD-227</t>
  </si>
  <si>
    <t>ID-M-BRD-228</t>
  </si>
  <si>
    <t>ID-M-BRD-229</t>
  </si>
  <si>
    <t>ID-M-BRD-230</t>
  </si>
  <si>
    <t>ID-M-BRD-231</t>
  </si>
  <si>
    <t>ID-M-BRD-232</t>
  </si>
  <si>
    <t>ID-M-BRD-233</t>
  </si>
  <si>
    <t>ID-M-BRD-234</t>
  </si>
  <si>
    <t>ID-M-BRD-235</t>
  </si>
  <si>
    <t>ID-M-BRD-236</t>
  </si>
  <si>
    <t>ID-M-BRD-237</t>
  </si>
  <si>
    <t>ID-M-BRD-238</t>
  </si>
  <si>
    <t>ID-M-BRD-239</t>
  </si>
  <si>
    <t>ID-M-BRD-240</t>
  </si>
  <si>
    <t>ID-M-BRD-241</t>
  </si>
  <si>
    <t>ID-M-BRD-242</t>
  </si>
  <si>
    <t>ID-M-BRD-243</t>
  </si>
  <si>
    <t>ID-M-BRD-244</t>
  </si>
  <si>
    <t>ID-M-BRD-245</t>
  </si>
  <si>
    <t>ID-M-BRD-246</t>
  </si>
  <si>
    <t>ID-M-BRD-247</t>
  </si>
  <si>
    <t>ID-M-BRD-248</t>
  </si>
  <si>
    <t>ID-M-BRD-249</t>
  </si>
  <si>
    <t>ID-M-BRD-250</t>
  </si>
  <si>
    <t>ID-M-BRD-251</t>
  </si>
  <si>
    <t>ID-M-BRD-252</t>
  </si>
  <si>
    <t>ID-M-BRD-253</t>
  </si>
  <si>
    <t>ID-M-BRD-254</t>
  </si>
  <si>
    <t>ID-M-BRD-255</t>
  </si>
  <si>
    <t>ID-M-BRD-256</t>
  </si>
  <si>
    <t>ID-M-BRD-257</t>
  </si>
  <si>
    <t>ID-M-BRD-258</t>
  </si>
  <si>
    <t>ID-M-BRD-259</t>
  </si>
  <si>
    <t>ID-M-BRD-260</t>
  </si>
  <si>
    <t>ID-M-BRD-261</t>
  </si>
  <si>
    <t>ID-M-BRD-262</t>
  </si>
  <si>
    <t>ID-M-BRD-263</t>
  </si>
  <si>
    <t>ID-M-BRD-264</t>
  </si>
  <si>
    <t>3mm Plywood - Normal</t>
  </si>
  <si>
    <t>4mm Plywood - Normal</t>
  </si>
  <si>
    <t>6mm Plywood - Normal</t>
  </si>
  <si>
    <t>9mm Plywood - Normal</t>
  </si>
  <si>
    <t>12mm Plywood - Normal</t>
  </si>
  <si>
    <t>15mm Plywood - Normal</t>
  </si>
  <si>
    <t>18mm Plywood - Normal</t>
  </si>
  <si>
    <t>22mm Plywood - Normal</t>
  </si>
  <si>
    <t>25mm Plywood - Normal</t>
  </si>
  <si>
    <t>30mm Plywood - Normal</t>
  </si>
  <si>
    <t>40mm Plywood - Normal</t>
  </si>
  <si>
    <t>3mm Plywood - MR Grade</t>
  </si>
  <si>
    <t>4mm Plywood - MR Grade</t>
  </si>
  <si>
    <t>6mm Plywood - MR Grade</t>
  </si>
  <si>
    <t>9mm Plywood - MR Grade</t>
  </si>
  <si>
    <t>12mm Plywood - MR Grade</t>
  </si>
  <si>
    <t>15mm Plywood - MR Grade</t>
  </si>
  <si>
    <t>18mm Plywood - MR Grade</t>
  </si>
  <si>
    <t>22mm Plywood - MR Grade</t>
  </si>
  <si>
    <t>25mm Plywood - MR Grade</t>
  </si>
  <si>
    <t>30mm Plywood - MR Grade</t>
  </si>
  <si>
    <t>40mm Plywood - MR Grade</t>
  </si>
  <si>
    <t>3mm Plywood - FR Grade</t>
  </si>
  <si>
    <t>4mm Plywood - FR Grade</t>
  </si>
  <si>
    <t>6mm Plywood - FR Grade</t>
  </si>
  <si>
    <t>9mm Plywood - FR Grade</t>
  </si>
  <si>
    <t>12mm Plywood - FR Grade</t>
  </si>
  <si>
    <t>15mm Plywood - FR Grade</t>
  </si>
  <si>
    <t>18mm Plywood - FR Grade</t>
  </si>
  <si>
    <t>22mm Plywood - FR Grade</t>
  </si>
  <si>
    <t>25mm Plywood - FR Grade</t>
  </si>
  <si>
    <t>30mm Plywood - FR Grade</t>
  </si>
  <si>
    <t>40mm Plywood - FR Grade</t>
  </si>
  <si>
    <t>3mm Plywood - FR &amp; MR Grade</t>
  </si>
  <si>
    <t>4mm Plywood - FR &amp; MR Grade</t>
  </si>
  <si>
    <t>6mm Plywood - FR &amp; MR Grade</t>
  </si>
  <si>
    <t>9mm Plywood - FR &amp; MR Grade</t>
  </si>
  <si>
    <t>12mm Plywood - FR &amp; MR Grade</t>
  </si>
  <si>
    <t>15mm Plywood - FR &amp; MR Grade</t>
  </si>
  <si>
    <t>18mm Plywood - FR &amp; MR Grade</t>
  </si>
  <si>
    <t>22mm Plywood - FR &amp; MR Grade</t>
  </si>
  <si>
    <t>25mm Plywood - FR &amp; MR Grade</t>
  </si>
  <si>
    <t>30mm Plywood - FR &amp; MR Grade</t>
  </si>
  <si>
    <t>40mm Plywood - FR &amp; MR Grade</t>
  </si>
  <si>
    <t>ID-M-BRD-265</t>
  </si>
  <si>
    <t>ID-M-BRD-266</t>
  </si>
  <si>
    <t>ID-M-BRD-267</t>
  </si>
  <si>
    <t>ID-M-BRD-268</t>
  </si>
  <si>
    <t>ID-M-BRD-269</t>
  </si>
  <si>
    <t>ID-M-BRD-270</t>
  </si>
  <si>
    <t>ID-M-BRD-271</t>
  </si>
  <si>
    <t>ID-M-BRD-272</t>
  </si>
  <si>
    <t>ID-M-BRD-273</t>
  </si>
  <si>
    <t>ID-M-BRD-274</t>
  </si>
  <si>
    <t>ID-M-BRD-275</t>
  </si>
  <si>
    <t>ID-M-BRD-276</t>
  </si>
  <si>
    <t>ID-M-BRD-277</t>
  </si>
  <si>
    <t>ID-M-BRD-278</t>
  </si>
  <si>
    <t>ID-M-BRD-279</t>
  </si>
  <si>
    <t>ID-M-BRD-280</t>
  </si>
  <si>
    <t>ID-M-BRD-281</t>
  </si>
  <si>
    <t>ID-M-BRD-282</t>
  </si>
  <si>
    <t>ID-M-BRD-283</t>
  </si>
  <si>
    <t>ID-M-BRD-284</t>
  </si>
  <si>
    <t>ID-M-BRD-285</t>
  </si>
  <si>
    <t>ID-M-BRD-286</t>
  </si>
  <si>
    <t>ID-M-BRD-287</t>
  </si>
  <si>
    <t>ID-M-BRD-288</t>
  </si>
  <si>
    <t>ID-M-BRD-289</t>
  </si>
  <si>
    <t>ID-M-BRD-290</t>
  </si>
  <si>
    <t>ID-M-BRD-291</t>
  </si>
  <si>
    <t>ID-M-BRD-292</t>
  </si>
  <si>
    <t>ID-M-BRD-293</t>
  </si>
  <si>
    <t>ID-M-BRD-294</t>
  </si>
  <si>
    <t>ID-M-BRD-295</t>
  </si>
  <si>
    <t>ID-M-BRD-296</t>
  </si>
  <si>
    <t>ID-M-BRD-297</t>
  </si>
  <si>
    <t>ID-M-BRD-298</t>
  </si>
  <si>
    <t>ID-M-BRD-299</t>
  </si>
  <si>
    <t>ID-M-BRD-300</t>
  </si>
  <si>
    <t>ID-M-BRD-301</t>
  </si>
  <si>
    <t>ID-M-BRD-302</t>
  </si>
  <si>
    <t>ID-M-BRD-303</t>
  </si>
  <si>
    <t>ID-M-BRD-304</t>
  </si>
  <si>
    <t>ID-M-BRD-305</t>
  </si>
  <si>
    <t>ID-M-BRD-306</t>
  </si>
  <si>
    <t>ID-M-BRD-307</t>
  </si>
  <si>
    <t>ID-M-BRD-308</t>
  </si>
  <si>
    <t>Meranti wood - 2" x 6" - AD</t>
  </si>
  <si>
    <t>Meranti wood - 2" x 8" - AD</t>
  </si>
  <si>
    <t>Meranti wood - 2" x 10" - AD</t>
  </si>
  <si>
    <t>Meranti wood - 2" x 12" - AD</t>
  </si>
  <si>
    <t>Ash wood - 2" x 6" - AD</t>
  </si>
  <si>
    <t>Ash wood - 2" x 8" - AD</t>
  </si>
  <si>
    <t>Ash wood - 2" x 10" - AD</t>
  </si>
  <si>
    <t>Ash wood - 2" x 12" - AD</t>
  </si>
  <si>
    <t>Beech wood - 2" x 6" - AD</t>
  </si>
  <si>
    <t>Beech wood - 2" x 8" - AD</t>
  </si>
  <si>
    <t>Beech wood - 2" x 10" - AD</t>
  </si>
  <si>
    <t>Beech wood - 2" x 12" - AD</t>
  </si>
  <si>
    <t>Iroko wood - 2" x 6" - AD</t>
  </si>
  <si>
    <t>Iroko wood - 2" x 8" - AD</t>
  </si>
  <si>
    <t>Iroko wood - 2" x 10" - AD</t>
  </si>
  <si>
    <t>Iroko wood - 2" x 12" - AD</t>
  </si>
  <si>
    <t>Dabema wood - 2" x 6" - AD</t>
  </si>
  <si>
    <t>Dabema wood - 2" x 8" - AD</t>
  </si>
  <si>
    <t>Dabema wood - 2" x 10" - AD</t>
  </si>
  <si>
    <t>Dabema wood - 2" x 12" - AD</t>
  </si>
  <si>
    <t>Red Oak wood - 2" x 6" - AD</t>
  </si>
  <si>
    <t>Red Oak wood - 2" x 8" - AD</t>
  </si>
  <si>
    <t>Red Oak wood - 2" x 10" - AD</t>
  </si>
  <si>
    <t>Red Oak wood - 2" x 12" - AD</t>
  </si>
  <si>
    <t>White Oak wood - 2" x 6" - AD</t>
  </si>
  <si>
    <t>White Oak wood - 2" x 8" - AD</t>
  </si>
  <si>
    <t>White Oak wood - 2" x 10" - AD</t>
  </si>
  <si>
    <t>White Oak wood - 2" x 12" - AD</t>
  </si>
  <si>
    <t>Walnut wood - 2" x 6" - AD</t>
  </si>
  <si>
    <t>Walnut wood - 2" x 8" - AD</t>
  </si>
  <si>
    <t>Walnut wood - 2" x 10" - AD</t>
  </si>
  <si>
    <t>Walnut wood - 2" x 12" - AD</t>
  </si>
  <si>
    <t>Meranti wood - 2" x 6" - KD</t>
  </si>
  <si>
    <t>Meranti wood - 2" x 8" - KD</t>
  </si>
  <si>
    <t>Meranti wood - 2" x 10" - KD</t>
  </si>
  <si>
    <t>Meranti wood - 2" x 12" - KD</t>
  </si>
  <si>
    <t>Ash wood - 2" x 6" - KD</t>
  </si>
  <si>
    <t>Ash wood - 2" x 8" - KD</t>
  </si>
  <si>
    <t>Ash wood - 2" x 10" - KD</t>
  </si>
  <si>
    <t>Ash wood - 2" x 12" - KD</t>
  </si>
  <si>
    <t>Beech wood - 2" x 6" - KD</t>
  </si>
  <si>
    <t>Beech wood - 2" x 8" - KD</t>
  </si>
  <si>
    <t>Beech wood - 2" x 10" - KD</t>
  </si>
  <si>
    <t>Beech wood - 2" x 12" - KD</t>
  </si>
  <si>
    <t>Iroko wood - 2" x 6" - KD</t>
  </si>
  <si>
    <t>Iroko wood - 2" x 8" - KD</t>
  </si>
  <si>
    <t>Iroko wood - 2" x 10" - KD</t>
  </si>
  <si>
    <t>Iroko wood - 2" x 12" - KD</t>
  </si>
  <si>
    <t>Dabema wood - 2" x 6" - KD</t>
  </si>
  <si>
    <t>Dabema wood - 2" x 8" - KD</t>
  </si>
  <si>
    <t>Dabema wood - 2" x 10" - KD</t>
  </si>
  <si>
    <t>Dabema wood - 2" x 12" - KD</t>
  </si>
  <si>
    <t>Red Oak wood - 2" x 6" - KD</t>
  </si>
  <si>
    <t>Red Oak wood - 2" x 8" - KD</t>
  </si>
  <si>
    <t>Red Oak wood - 2" x 10" - KD</t>
  </si>
  <si>
    <t>Red Oak wood - 2" x 12" - KD</t>
  </si>
  <si>
    <t>White Oak wood - 2" x 6" - KD</t>
  </si>
  <si>
    <t>White Oak wood - 2" x 8" - KD</t>
  </si>
  <si>
    <t>White Oak wood - 2" x 10" - KD</t>
  </si>
  <si>
    <t>White Oak wood - 2" x 12" - KD</t>
  </si>
  <si>
    <t>Walnut wood - 2" x 6" - KD</t>
  </si>
  <si>
    <t>Walnut wood - 2" x 8" - KD</t>
  </si>
  <si>
    <t>Walnut wood - 2" x 10" - KD</t>
  </si>
  <si>
    <t>Walnut wood - 2" x 12" - KD</t>
  </si>
  <si>
    <t>Wood</t>
  </si>
  <si>
    <t>ID-M-WD-001</t>
  </si>
  <si>
    <t>ID-M-WD-002</t>
  </si>
  <si>
    <t>ID-M-WD-003</t>
  </si>
  <si>
    <t>ID-M-WD-004</t>
  </si>
  <si>
    <t>ID-M-WD-005</t>
  </si>
  <si>
    <t>ID-M-WD-006</t>
  </si>
  <si>
    <t>ID-M-WD-007</t>
  </si>
  <si>
    <t>ID-M-WD-008</t>
  </si>
  <si>
    <t>ID-M-WD-009</t>
  </si>
  <si>
    <t>ID-M-WD-010</t>
  </si>
  <si>
    <t>ID-M-WD-011</t>
  </si>
  <si>
    <t>ID-M-WD-012</t>
  </si>
  <si>
    <t>ID-M-WD-013</t>
  </si>
  <si>
    <t>ID-M-WD-014</t>
  </si>
  <si>
    <t>ID-M-WD-015</t>
  </si>
  <si>
    <t>ID-M-WD-016</t>
  </si>
  <si>
    <t>ID-M-WD-017</t>
  </si>
  <si>
    <t>ID-M-WD-018</t>
  </si>
  <si>
    <t>ID-M-WD-019</t>
  </si>
  <si>
    <t>ID-M-WD-020</t>
  </si>
  <si>
    <t>ID-M-WD-021</t>
  </si>
  <si>
    <t>ID-M-WD-022</t>
  </si>
  <si>
    <t>ID-M-WD-023</t>
  </si>
  <si>
    <t>ID-M-WD-024</t>
  </si>
  <si>
    <t>ID-M-WD-025</t>
  </si>
  <si>
    <t>ID-M-WD-026</t>
  </si>
  <si>
    <t>ID-M-WD-027</t>
  </si>
  <si>
    <t>ID-M-WD-028</t>
  </si>
  <si>
    <t>ID-M-WD-029</t>
  </si>
  <si>
    <t>ID-M-WD-030</t>
  </si>
  <si>
    <t>ID-M-WD-031</t>
  </si>
  <si>
    <t>ID-M-WD-032</t>
  </si>
  <si>
    <t>ID-M-WD-033</t>
  </si>
  <si>
    <t>ID-M-WD-034</t>
  </si>
  <si>
    <t>ID-M-WD-035</t>
  </si>
  <si>
    <t>ID-M-WD-036</t>
  </si>
  <si>
    <t>ID-M-WD-037</t>
  </si>
  <si>
    <t>ID-M-WD-038</t>
  </si>
  <si>
    <t>ID-M-WD-039</t>
  </si>
  <si>
    <t>ID-M-WD-040</t>
  </si>
  <si>
    <t>ID-M-WD-041</t>
  </si>
  <si>
    <t>ID-M-WD-042</t>
  </si>
  <si>
    <t>ID-M-WD-043</t>
  </si>
  <si>
    <t>ID-M-WD-044</t>
  </si>
  <si>
    <t>ID-M-WD-045</t>
  </si>
  <si>
    <t>ID-M-WD-046</t>
  </si>
  <si>
    <t>ID-M-WD-047</t>
  </si>
  <si>
    <t>ID-M-WD-048</t>
  </si>
  <si>
    <t>ID-M-WD-049</t>
  </si>
  <si>
    <t>ID-M-WD-050</t>
  </si>
  <si>
    <t>ID-M-WD-051</t>
  </si>
  <si>
    <t>ID-M-WD-052</t>
  </si>
  <si>
    <t>ID-M-WD-053</t>
  </si>
  <si>
    <t>ID-M-WD-054</t>
  </si>
  <si>
    <t>ID-M-WD-055</t>
  </si>
  <si>
    <t>ID-M-WD-056</t>
  </si>
  <si>
    <t>ID-M-WD-057</t>
  </si>
  <si>
    <t>ID-M-WD-058</t>
  </si>
  <si>
    <t>ID-M-WD-059</t>
  </si>
  <si>
    <t>ID-M-WD-060</t>
  </si>
  <si>
    <t>ID-M-WD-061</t>
  </si>
  <si>
    <t>ID-M-WD-062</t>
  </si>
  <si>
    <t>ID-M-WD-063</t>
  </si>
  <si>
    <t>ID-M-WD-064</t>
  </si>
  <si>
    <t>Ash veneer - Q-Cut</t>
  </si>
  <si>
    <t>Beech veneer - Q-Cut</t>
  </si>
  <si>
    <t>Cherry veneer - Q-Cut</t>
  </si>
  <si>
    <t>Iroko veneer - Q-Cut</t>
  </si>
  <si>
    <t>Mahogany veneer - Q-Cut</t>
  </si>
  <si>
    <t>Red Oak veneer - Q-Cut</t>
  </si>
  <si>
    <t>Teak veneer - Q-Cut</t>
  </si>
  <si>
    <t>White Oak veneer - Q-Cut</t>
  </si>
  <si>
    <t>Maple veneer - Q-Cut</t>
  </si>
  <si>
    <t>Ash veneer - C-cut</t>
  </si>
  <si>
    <t>Beech veneer - C-cut</t>
  </si>
  <si>
    <t>Cherry veneer - C-cut</t>
  </si>
  <si>
    <t>Iroko veneer - C-cut</t>
  </si>
  <si>
    <t>Mahogany veneer - C-cut</t>
  </si>
  <si>
    <t>Red Oak veneer - C-cut</t>
  </si>
  <si>
    <t>Teak veneer - C-cut</t>
  </si>
  <si>
    <t>White Oak veneer - C-cut</t>
  </si>
  <si>
    <t>Maple veneer - C-cut</t>
  </si>
  <si>
    <t>Veneer</t>
  </si>
  <si>
    <t>ID-M-VNR-001</t>
  </si>
  <si>
    <t>ID-M-VNR-002</t>
  </si>
  <si>
    <t>ID-M-VNR-003</t>
  </si>
  <si>
    <t>ID-M-VNR-004</t>
  </si>
  <si>
    <t>ID-M-VNR-005</t>
  </si>
  <si>
    <t>ID-M-VNR-006</t>
  </si>
  <si>
    <t>ID-M-VNR-007</t>
  </si>
  <si>
    <t>ID-M-VNR-008</t>
  </si>
  <si>
    <t>ID-M-VNR-009</t>
  </si>
  <si>
    <t>ID-M-VNR-010</t>
  </si>
  <si>
    <t>ID-M-VNR-011</t>
  </si>
  <si>
    <t>ID-M-VNR-012</t>
  </si>
  <si>
    <t>ID-M-VNR-013</t>
  </si>
  <si>
    <t>ID-M-VNR-014</t>
  </si>
  <si>
    <t>ID-M-VNR-015</t>
  </si>
  <si>
    <t>ID-M-VNR-016</t>
  </si>
  <si>
    <t>ID-M-VNR-017</t>
  </si>
  <si>
    <t>ID-M-VNR-018</t>
  </si>
  <si>
    <t>ID-M-VNR-019</t>
  </si>
  <si>
    <t>Balancer Veneer</t>
  </si>
  <si>
    <t>Laminate</t>
  </si>
  <si>
    <t>Black Laminate</t>
  </si>
  <si>
    <t>White Laminate</t>
  </si>
  <si>
    <t>Brown Laminate</t>
  </si>
  <si>
    <t>Ash Laminate</t>
  </si>
  <si>
    <t>Beech Laminate</t>
  </si>
  <si>
    <t>Oak Laminate</t>
  </si>
  <si>
    <t>ID-M-LM-001</t>
  </si>
  <si>
    <t>ID-M-LM-002</t>
  </si>
  <si>
    <t>ID-M-LM-003</t>
  </si>
  <si>
    <t>ID-M-LM-004</t>
  </si>
  <si>
    <t>ID-M-LM-005</t>
  </si>
  <si>
    <t>ID-M-LM-006</t>
  </si>
  <si>
    <t>Door Core</t>
  </si>
  <si>
    <t>ID-M-DR-001</t>
  </si>
  <si>
    <t>44mm thick NON FR Hollow Door Core</t>
  </si>
  <si>
    <t>44mm thick NON FR Solid Door Core</t>
  </si>
  <si>
    <t>33mm thick NON FR Solid Door Core</t>
  </si>
  <si>
    <t>33mm thick NON FR Hollow Door Core</t>
  </si>
  <si>
    <t>38mm thick NON FR Hollow Door Core</t>
  </si>
  <si>
    <t>38mm thick NON FR Solid Door Core</t>
  </si>
  <si>
    <t>Brand</t>
  </si>
  <si>
    <t>Panel plus</t>
  </si>
  <si>
    <t>Century ply</t>
  </si>
  <si>
    <t>44mm thick 30mins FR Door Core</t>
  </si>
  <si>
    <t>54mm thick 60mins FR Door Core</t>
  </si>
  <si>
    <t>64mm thick 90mins FR Door Core</t>
  </si>
  <si>
    <t>64mm thick 120mins FR Door Core</t>
  </si>
  <si>
    <t>915 x 2135mm</t>
  </si>
  <si>
    <t>ID-M-DR-002</t>
  </si>
  <si>
    <t>ID-M-DR-003</t>
  </si>
  <si>
    <t>ID-M-DR-004</t>
  </si>
  <si>
    <t>ID-M-DR-005</t>
  </si>
  <si>
    <t>ID-M-DR-006</t>
  </si>
  <si>
    <t>ID-M-DR-007</t>
  </si>
  <si>
    <t>ID-M-DR-008</t>
  </si>
  <si>
    <t>ID-M-DR-009</t>
  </si>
  <si>
    <t>ID-M-DR-010</t>
  </si>
  <si>
    <t>ID-M-DR-011</t>
  </si>
  <si>
    <t>ID-M-DR-012</t>
  </si>
  <si>
    <t>ID-M-DR-013</t>
  </si>
  <si>
    <t>ID-M-DR-014</t>
  </si>
  <si>
    <t>Hardware</t>
  </si>
  <si>
    <t>Cabinet Hinges - Type A</t>
  </si>
  <si>
    <t>Cabinet Hinges - Type B</t>
  </si>
  <si>
    <t>Cabinet Hinges - Type C</t>
  </si>
  <si>
    <t>Drawer Runner - Side Mounted - 200mm</t>
  </si>
  <si>
    <t>Drawer Runner - Side Mounted - 300mm</t>
  </si>
  <si>
    <t>Drawer Runner - Side Mounted - 400mm</t>
  </si>
  <si>
    <t>Drawer Runner - Side Mounted - 500mm</t>
  </si>
  <si>
    <t>Drawer Runner - Side Mounted - 600mm</t>
  </si>
  <si>
    <t>Drawer Runner - Bottom Mounted - 200mm</t>
  </si>
  <si>
    <t>Drawer Runner - Bottom Mounted - 300mm</t>
  </si>
  <si>
    <t>Drawer Runner - Bottom Mounted - 400mm</t>
  </si>
  <si>
    <t>Drawer Runner - Bottom Mounted - 500mm</t>
  </si>
  <si>
    <t>Drawer Runner - Bottom Mounted - 600mm</t>
  </si>
  <si>
    <t>UN037</t>
  </si>
  <si>
    <t>Pair</t>
  </si>
  <si>
    <t>pair</t>
  </si>
  <si>
    <t>Drawer Lock - Double</t>
  </si>
  <si>
    <t>Drawer Lock - Single</t>
  </si>
  <si>
    <t>Drawer Lock - Triple</t>
  </si>
  <si>
    <t>Cabinet Lock</t>
  </si>
  <si>
    <t>Push Catcher</t>
  </si>
  <si>
    <t>Magnetic Push Catcher</t>
  </si>
  <si>
    <t>Foot Glides</t>
  </si>
  <si>
    <t>Shelf studs</t>
  </si>
  <si>
    <t>Shelf sleeves</t>
  </si>
  <si>
    <t>self-closing</t>
  </si>
  <si>
    <t>soft-closing</t>
  </si>
  <si>
    <t>ID-M-HRD-001</t>
  </si>
  <si>
    <t>ID-M-HRD-002</t>
  </si>
  <si>
    <t>ID-M-HRD-003</t>
  </si>
  <si>
    <t>ID-M-HRD-004</t>
  </si>
  <si>
    <t>ID-M-HRD-005</t>
  </si>
  <si>
    <t>ID-M-HRD-006</t>
  </si>
  <si>
    <t>ID-M-HRD-007</t>
  </si>
  <si>
    <t>ID-M-HRD-008</t>
  </si>
  <si>
    <t>ID-M-HRD-009</t>
  </si>
  <si>
    <t>ID-M-HRD-010</t>
  </si>
  <si>
    <t>ID-M-HRD-011</t>
  </si>
  <si>
    <t>ID-M-HRD-012</t>
  </si>
  <si>
    <t>ID-M-HRD-013</t>
  </si>
  <si>
    <t>ID-M-HRD-014</t>
  </si>
  <si>
    <t>ID-M-HRD-015</t>
  </si>
  <si>
    <t>ID-M-HRD-016</t>
  </si>
  <si>
    <t>ID-M-HRD-017</t>
  </si>
  <si>
    <t>ID-M-HRD-018</t>
  </si>
  <si>
    <t>ID-M-HRD-019</t>
  </si>
  <si>
    <t>ID-M-HRD-020</t>
  </si>
  <si>
    <t>ID-M-HRD-021</t>
  </si>
  <si>
    <t>ID-M-HRD-022</t>
  </si>
  <si>
    <t>ID-M-HRD-023</t>
  </si>
  <si>
    <t>ID-M-HRD-024</t>
  </si>
  <si>
    <t>ID-M-HRD-025</t>
  </si>
  <si>
    <t>ID-M-HRD-026</t>
  </si>
  <si>
    <t>ID-M-HRD-027</t>
  </si>
  <si>
    <t>ID-M-HRD-028</t>
  </si>
  <si>
    <t>ID-M-HRD-029</t>
  </si>
  <si>
    <t>ID-M-HRD-030</t>
  </si>
  <si>
    <t>ID-M-HRD-031</t>
  </si>
  <si>
    <t>ID-M-HRD-032</t>
  </si>
  <si>
    <t>ID-M-HRD-033</t>
  </si>
  <si>
    <t>ID-M-HRD-034</t>
  </si>
  <si>
    <t>ID-M-HRD-035</t>
  </si>
  <si>
    <t>Door Hinges - Non FR</t>
  </si>
  <si>
    <t>Door Hinges - FR</t>
  </si>
  <si>
    <t>Door Handle</t>
  </si>
  <si>
    <t>Door Closer - Non FR</t>
  </si>
  <si>
    <t>Door Closer - FR</t>
  </si>
  <si>
    <t>Door Lockset - Non FR</t>
  </si>
  <si>
    <t>Door Lockset - FR</t>
  </si>
  <si>
    <t>Door Stopper</t>
  </si>
  <si>
    <t>Ironmongery</t>
  </si>
  <si>
    <t>ID-M-IRNM-001</t>
  </si>
  <si>
    <t>ID-M-IRNM-002</t>
  </si>
  <si>
    <t>ID-M-IRNM-003</t>
  </si>
  <si>
    <t>ID-M-IRNM-004</t>
  </si>
  <si>
    <t>ID-M-IRNM-005</t>
  </si>
  <si>
    <t>ID-M-IRNM-006</t>
  </si>
  <si>
    <t>ID-M-IRNM-007</t>
  </si>
  <si>
    <t>ID-M-IRNM-008</t>
  </si>
  <si>
    <t>Stone Mason</t>
  </si>
  <si>
    <t>Brick Mason</t>
  </si>
  <si>
    <t>Plastering Mason</t>
  </si>
  <si>
    <t>Concrete Mason</t>
  </si>
  <si>
    <t>Helper</t>
  </si>
  <si>
    <t>Bar bender</t>
  </si>
  <si>
    <t>Wall Painter</t>
  </si>
  <si>
    <t>Scaffolder</t>
  </si>
  <si>
    <t>Electrician</t>
  </si>
  <si>
    <t>Plumber</t>
  </si>
  <si>
    <t>Mechanic</t>
  </si>
  <si>
    <t>HVAC Technician</t>
  </si>
  <si>
    <t>IT Technician</t>
  </si>
  <si>
    <t>Foremen</t>
  </si>
  <si>
    <t>Chargehand</t>
  </si>
  <si>
    <t>MEP</t>
  </si>
  <si>
    <t>Carpenter</t>
  </si>
  <si>
    <t>Machine Operator</t>
  </si>
  <si>
    <t>Wood Polisher</t>
  </si>
  <si>
    <t>CIV-L-001</t>
  </si>
  <si>
    <t>MEP-L-001</t>
  </si>
  <si>
    <t>CIV-L-002</t>
  </si>
  <si>
    <t>CIV-L-003</t>
  </si>
  <si>
    <t>CIV-L-004</t>
  </si>
  <si>
    <t>CIV-L-005</t>
  </si>
  <si>
    <t>CIV-L-006</t>
  </si>
  <si>
    <t>CIV-L-007</t>
  </si>
  <si>
    <t>CIV-L-008</t>
  </si>
  <si>
    <t>CIV-L-009</t>
  </si>
  <si>
    <t>CIV-L-010</t>
  </si>
  <si>
    <t>CIV-L-011</t>
  </si>
  <si>
    <t>ID-L-001</t>
  </si>
  <si>
    <t>MEP-L-002</t>
  </si>
  <si>
    <t>MEP-L-003</t>
  </si>
  <si>
    <t>MEP-L-004</t>
  </si>
  <si>
    <t>MEP-L-005</t>
  </si>
  <si>
    <t>MEP-L-006</t>
  </si>
  <si>
    <t>MEP-L-007</t>
  </si>
  <si>
    <t>MEP-L-008</t>
  </si>
  <si>
    <t>ID-L-002</t>
  </si>
  <si>
    <t>ID-L-003</t>
  </si>
  <si>
    <t>ID-L-004</t>
  </si>
  <si>
    <t>ID-L-005</t>
  </si>
  <si>
    <t>ID-L-006</t>
  </si>
  <si>
    <t>Description</t>
  </si>
  <si>
    <t>Amount</t>
  </si>
  <si>
    <t>Bill of Quantities</t>
  </si>
  <si>
    <t>Preliminaries</t>
  </si>
  <si>
    <t>Site Co-ordination</t>
  </si>
  <si>
    <t>Shop Drawings</t>
  </si>
  <si>
    <t>As-Built Drawings</t>
  </si>
  <si>
    <t>Material Submittals</t>
  </si>
  <si>
    <t>Sample Preparation</t>
  </si>
  <si>
    <t>Mock-ups</t>
  </si>
  <si>
    <t>Bonds</t>
  </si>
  <si>
    <t>Site-Office Setup</t>
  </si>
  <si>
    <t>Insurances</t>
  </si>
  <si>
    <t>Project - Interior Refurbishment for Medical Institute, Location A</t>
  </si>
  <si>
    <t>a</t>
  </si>
  <si>
    <t>i</t>
  </si>
  <si>
    <t>k</t>
  </si>
  <si>
    <t>B</t>
  </si>
  <si>
    <t>e</t>
  </si>
  <si>
    <t>b</t>
  </si>
  <si>
    <t>c</t>
  </si>
  <si>
    <t>d</t>
  </si>
  <si>
    <t>f</t>
  </si>
  <si>
    <t>g</t>
  </si>
  <si>
    <t>h</t>
  </si>
  <si>
    <t>Page 1 - Sub-total</t>
  </si>
  <si>
    <t>L/s</t>
  </si>
  <si>
    <t>Summary</t>
  </si>
  <si>
    <t>1 - Preliminaries</t>
  </si>
  <si>
    <t>Page 1 - subtotal</t>
  </si>
  <si>
    <t>1 - Preliminaries Sub-total</t>
  </si>
  <si>
    <t>Demolition</t>
  </si>
  <si>
    <t>Demolition of Blockwork</t>
  </si>
  <si>
    <t>Demolition of Gypsum Partition</t>
  </si>
  <si>
    <t>Stripping out HVAC Systems</t>
  </si>
  <si>
    <t>Removal of Fire Sprinklers</t>
  </si>
  <si>
    <t>Removal of Smoke &amp; Fire Detectors</t>
  </si>
  <si>
    <t>Removal of Fire Hose Reel</t>
  </si>
  <si>
    <t>Removal of Fire Water Piping</t>
  </si>
  <si>
    <t>Removal of IT items</t>
  </si>
  <si>
    <t>Removal of Loose Furniture</t>
  </si>
  <si>
    <t>Page 3 - Sub-total</t>
  </si>
  <si>
    <t>Demolition (Contd.)</t>
  </si>
  <si>
    <t>Removal of Wall Panelling</t>
  </si>
  <si>
    <t>Removal of Custom-Joinery</t>
  </si>
  <si>
    <t>Removal of CCTV</t>
  </si>
  <si>
    <t>Removal of Flooring</t>
  </si>
  <si>
    <t>Removal of Ceiling</t>
  </si>
  <si>
    <t>Removal of Signages</t>
  </si>
  <si>
    <t>j</t>
  </si>
  <si>
    <t>l</t>
  </si>
  <si>
    <t>n</t>
  </si>
  <si>
    <t>o</t>
  </si>
  <si>
    <t>p</t>
  </si>
  <si>
    <t>q</t>
  </si>
  <si>
    <t>r</t>
  </si>
  <si>
    <t>Removal of Doors</t>
  </si>
  <si>
    <t>Removal of Windows</t>
  </si>
  <si>
    <t>Demolition of Glass Partition</t>
  </si>
  <si>
    <t>Page 4 - Sub-total</t>
  </si>
  <si>
    <t>2 - Demolition</t>
  </si>
  <si>
    <t>Page 3 - subtotal</t>
  </si>
  <si>
    <t>Page 4 - subtotal</t>
  </si>
  <si>
    <t>2 - Demolition Sub-total</t>
  </si>
  <si>
    <t>Civil Works</t>
  </si>
  <si>
    <t>M30 Concrete for Columns</t>
  </si>
  <si>
    <t>M30 Concrete for Beams</t>
  </si>
  <si>
    <t>M30 Concrete for Slabs</t>
  </si>
  <si>
    <t>Pre-tensioning works</t>
  </si>
  <si>
    <t>Shuttering for Columns</t>
  </si>
  <si>
    <t>Shuttering for Beams</t>
  </si>
  <si>
    <t>Shuttering for Slabs</t>
  </si>
  <si>
    <t>Scaffolding for Beams</t>
  </si>
  <si>
    <t>Scaffolding for Columns</t>
  </si>
  <si>
    <t>Scaffolding for Slabs</t>
  </si>
  <si>
    <t>Civil Works (Contd.)</t>
  </si>
  <si>
    <t>Column Plastering</t>
  </si>
  <si>
    <t>Beam Plastering</t>
  </si>
  <si>
    <t>Ceiling Plastering</t>
  </si>
  <si>
    <t>Nos</t>
  </si>
  <si>
    <t>Page 6 - Sub-total</t>
  </si>
  <si>
    <t>Page 7 - Sub-total</t>
  </si>
  <si>
    <t>Page 6 - subtotal</t>
  </si>
  <si>
    <t>Page 7 - subtotal</t>
  </si>
  <si>
    <t>3 - Civil Works</t>
  </si>
  <si>
    <t>Finishing Works</t>
  </si>
  <si>
    <t>150mm Gypsum Partitions</t>
  </si>
  <si>
    <t>100mm Gypsum Partitions</t>
  </si>
  <si>
    <t>200mm Gypsum Partitions</t>
  </si>
  <si>
    <t>100mm Blockwork</t>
  </si>
  <si>
    <t>200mm Blockwork</t>
  </si>
  <si>
    <t>Jamb finishing for Doors</t>
  </si>
  <si>
    <t>Jamb finishing for Windows</t>
  </si>
  <si>
    <t>600x600mm Porcelain Tile Flooring</t>
  </si>
  <si>
    <t>Interior Emulsion Paint Finish</t>
  </si>
  <si>
    <t>Exerior Emulsion Paint Finish</t>
  </si>
  <si>
    <t>Decorative Texture Plaster Finish</t>
  </si>
  <si>
    <t>Page 9 - Sub-total</t>
  </si>
  <si>
    <t>Gypsum False Ceiling</t>
  </si>
  <si>
    <t>4 - Finishing Works</t>
  </si>
  <si>
    <t>Page 9 - subtotal</t>
  </si>
  <si>
    <t>4 - Finishing Works Sub-total</t>
  </si>
  <si>
    <t>Joinery Works</t>
  </si>
  <si>
    <t>D1 - Door</t>
  </si>
  <si>
    <t>D2 - Door</t>
  </si>
  <si>
    <t>D3 - Door</t>
  </si>
  <si>
    <t>D4 - Door</t>
  </si>
  <si>
    <t>D5 - Door</t>
  </si>
  <si>
    <t>Wall Panelling</t>
  </si>
  <si>
    <t>Ceiling Panelling</t>
  </si>
  <si>
    <t>Wardrobe A</t>
  </si>
  <si>
    <t>Wardrobe B</t>
  </si>
  <si>
    <t>Page 11 - Sub-total</t>
  </si>
  <si>
    <t>5 - Joinery Works</t>
  </si>
  <si>
    <t>Page 11 - subtotal</t>
  </si>
  <si>
    <t>5 - Joinery Works Sub-total</t>
  </si>
  <si>
    <t>Provisional Sums</t>
  </si>
  <si>
    <t>Loose Furniture</t>
  </si>
  <si>
    <t>MEP Works</t>
  </si>
  <si>
    <t>HVAC Works</t>
  </si>
  <si>
    <t>Elevators</t>
  </si>
  <si>
    <t>IT Systems</t>
  </si>
  <si>
    <t>CCTV Systems</t>
  </si>
  <si>
    <t>Signage Works</t>
  </si>
  <si>
    <t>Page 13 - Sub-total</t>
  </si>
  <si>
    <t>6 - Provisional Sums</t>
  </si>
  <si>
    <t>6 - Provisional Sums Sub-total</t>
  </si>
  <si>
    <t>Page 13 - subtotal</t>
  </si>
  <si>
    <t>Grand Summary</t>
  </si>
  <si>
    <t>3 - Civil Works Sub-total</t>
  </si>
  <si>
    <t>Grand Total</t>
  </si>
  <si>
    <t>Wall Panelling A</t>
  </si>
  <si>
    <t>Wall Panelling B</t>
  </si>
  <si>
    <t>Reception Desk</t>
  </si>
  <si>
    <t>7 - Tender Adjustments</t>
  </si>
  <si>
    <t>Tender Adjustments</t>
  </si>
  <si>
    <t>Page 15 - Sub-total</t>
  </si>
  <si>
    <t>Page 15 - subtotal</t>
  </si>
  <si>
    <t>7 - Tender Adjustments Sub-total</t>
  </si>
  <si>
    <t>Drawing</t>
  </si>
  <si>
    <t>L</t>
  </si>
  <si>
    <t>H</t>
  </si>
  <si>
    <t>Qty</t>
  </si>
  <si>
    <t>Ground Floor</t>
  </si>
  <si>
    <t>Columns</t>
  </si>
  <si>
    <t>First Floor</t>
  </si>
  <si>
    <t>Area</t>
  </si>
  <si>
    <t>Perimeter</t>
  </si>
  <si>
    <t>Volume</t>
  </si>
  <si>
    <t>T</t>
  </si>
  <si>
    <t>Blockwork</t>
  </si>
  <si>
    <t>Partition</t>
  </si>
  <si>
    <t>Room 1</t>
  </si>
  <si>
    <t>Room 2</t>
  </si>
  <si>
    <t>Room 3</t>
  </si>
  <si>
    <t>Door</t>
  </si>
  <si>
    <t>Sub-Item</t>
  </si>
  <si>
    <t>Wall</t>
  </si>
  <si>
    <t>Blockwork - 100</t>
  </si>
  <si>
    <t>Blockwork - 150</t>
  </si>
  <si>
    <t>Blockwork - 200</t>
  </si>
  <si>
    <t>Blockwork - 250</t>
  </si>
  <si>
    <t>Blockwork - 300</t>
  </si>
  <si>
    <t>Partition - 100</t>
  </si>
  <si>
    <t>Partition - 150</t>
  </si>
  <si>
    <t>Partition - 200</t>
  </si>
  <si>
    <t>Partition - 250</t>
  </si>
  <si>
    <t>Partition - 300</t>
  </si>
  <si>
    <t>HVAC</t>
  </si>
  <si>
    <t>Fire Sprinklers</t>
  </si>
  <si>
    <t>Detectors</t>
  </si>
  <si>
    <t>FHR</t>
  </si>
  <si>
    <t>Fire pipe</t>
  </si>
  <si>
    <t>IT</t>
  </si>
  <si>
    <t>LAN Cable</t>
  </si>
  <si>
    <t>Computer</t>
  </si>
  <si>
    <t>Server Rack</t>
  </si>
  <si>
    <t>CCTV</t>
  </si>
  <si>
    <t>Tables</t>
  </si>
  <si>
    <t>Chairs</t>
  </si>
  <si>
    <t>Cabinets</t>
  </si>
  <si>
    <t>Area 1</t>
  </si>
  <si>
    <t>Area 2</t>
  </si>
  <si>
    <t>Area 3</t>
  </si>
  <si>
    <t>Joinery</t>
  </si>
  <si>
    <t>Reception Unit</t>
  </si>
  <si>
    <t>Lounge Cabinet</t>
  </si>
  <si>
    <t>Fountain</t>
  </si>
  <si>
    <t>Ceiling</t>
  </si>
  <si>
    <t>Flooring</t>
  </si>
  <si>
    <t>Glass Partition</t>
  </si>
  <si>
    <t>Window</t>
  </si>
  <si>
    <t>Signages</t>
  </si>
  <si>
    <t>Second Floor</t>
  </si>
  <si>
    <t>Basement</t>
  </si>
  <si>
    <t>500x500 Column</t>
  </si>
  <si>
    <t>1000x500 Column</t>
  </si>
  <si>
    <t>M30</t>
  </si>
  <si>
    <t>Surface Area</t>
  </si>
  <si>
    <t>M30 Concrete for Column</t>
  </si>
  <si>
    <t>M30 Concrete for beam</t>
  </si>
  <si>
    <t>M30 Concrete of Slabs</t>
  </si>
  <si>
    <t>Beams</t>
  </si>
  <si>
    <t>500x500 Beam</t>
  </si>
  <si>
    <t>1000x500 Beam</t>
  </si>
  <si>
    <t>200mm Slab</t>
  </si>
  <si>
    <t>Slab</t>
  </si>
  <si>
    <t>Gypsum 100</t>
  </si>
  <si>
    <t>Gypsum 150</t>
  </si>
  <si>
    <t>Gypsum 200</t>
  </si>
  <si>
    <t>Block 100</t>
  </si>
  <si>
    <t>Block 200</t>
  </si>
  <si>
    <t>Walls</t>
  </si>
  <si>
    <t>Doors</t>
  </si>
  <si>
    <t>Slab Plastering</t>
  </si>
  <si>
    <t>Windows</t>
  </si>
  <si>
    <t>Tile</t>
  </si>
  <si>
    <t>Painting</t>
  </si>
  <si>
    <t>Decorative Texture</t>
  </si>
  <si>
    <t>D1</t>
  </si>
  <si>
    <t>D2</t>
  </si>
  <si>
    <t>D3</t>
  </si>
  <si>
    <t>D4</t>
  </si>
  <si>
    <t>D5</t>
  </si>
  <si>
    <t>Panelling</t>
  </si>
  <si>
    <t>Wardrobe</t>
  </si>
  <si>
    <t>Working - Bill of Quantities</t>
  </si>
  <si>
    <t>BOQ Code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</si>
  <si>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</si>
  <si>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</si>
  <si>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</si>
  <si>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</si>
  <si>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</si>
  <si>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</si>
  <si>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</si>
  <si>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</si>
  <si>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</si>
  <si>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</si>
  <si>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</si>
  <si>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</si>
  <si>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</si>
  <si>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</si>
  <si>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</si>
  <si>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</si>
  <si>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</si>
  <si>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</si>
  <si>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2j</t>
  </si>
  <si>
    <t>2k</t>
  </si>
  <si>
    <t>2l</t>
  </si>
  <si>
    <t>2m</t>
  </si>
  <si>
    <t>2n</t>
  </si>
  <si>
    <t>2o</t>
  </si>
  <si>
    <t>2p</t>
  </si>
  <si>
    <t>2q</t>
  </si>
  <si>
    <t>2r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</si>
  <si>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</si>
  <si>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</si>
  <si>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</si>
  <si>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</si>
  <si>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</si>
  <si>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</si>
  <si>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</si>
  <si>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</si>
  <si>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</si>
  <si>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</si>
  <si>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</si>
  <si>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</si>
  <si>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3m</t>
  </si>
  <si>
    <t>3n</t>
  </si>
  <si>
    <t>3o</t>
  </si>
  <si>
    <t>3p</t>
  </si>
  <si>
    <t>4a</t>
  </si>
  <si>
    <t>4b</t>
  </si>
  <si>
    <t>4c</t>
  </si>
  <si>
    <t>4d</t>
  </si>
  <si>
    <t>4e</t>
  </si>
  <si>
    <t>4f</t>
  </si>
  <si>
    <t>4g</t>
  </si>
  <si>
    <t>4h</t>
  </si>
  <si>
    <t>4i</t>
  </si>
  <si>
    <t>5a</t>
  </si>
  <si>
    <t>5b</t>
  </si>
  <si>
    <t>5c</t>
  </si>
  <si>
    <t>5d</t>
  </si>
  <si>
    <t>5e</t>
  </si>
  <si>
    <t>5f</t>
  </si>
  <si>
    <t>5g</t>
  </si>
  <si>
    <t>5h</t>
  </si>
  <si>
    <t>5i</t>
  </si>
  <si>
    <t>5j</t>
  </si>
  <si>
    <t>5k</t>
  </si>
  <si>
    <t>6a</t>
  </si>
  <si>
    <t>6b</t>
  </si>
  <si>
    <t>6c</t>
  </si>
  <si>
    <t>6d</t>
  </si>
  <si>
    <t>6e</t>
  </si>
  <si>
    <t>6f</t>
  </si>
  <si>
    <t>Our Qty</t>
  </si>
  <si>
    <t>Cost Amount</t>
  </si>
  <si>
    <t>Margin</t>
  </si>
  <si>
    <t>Margin Amount</t>
  </si>
  <si>
    <t>Quote Qty</t>
  </si>
  <si>
    <t>Client Qty</t>
  </si>
  <si>
    <t>Qty Diff</t>
  </si>
  <si>
    <t>BOQ Category</t>
  </si>
  <si>
    <t>Work Category</t>
  </si>
  <si>
    <t>Staff</t>
  </si>
  <si>
    <t>Bank</t>
  </si>
  <si>
    <t>CIVIL</t>
  </si>
  <si>
    <t>Concrete</t>
  </si>
  <si>
    <t>Gypsum</t>
  </si>
  <si>
    <t>Shuttering</t>
  </si>
  <si>
    <t>Scaffolding</t>
  </si>
  <si>
    <t>Plastering</t>
  </si>
  <si>
    <t>Wall Finishes</t>
  </si>
  <si>
    <t>FFE</t>
  </si>
  <si>
    <t>A</t>
  </si>
  <si>
    <t>Wall Cladding</t>
  </si>
  <si>
    <t>Ceiling Cladding</t>
  </si>
  <si>
    <t>Cabinet</t>
  </si>
  <si>
    <t>Counter</t>
  </si>
  <si>
    <t>Group 1</t>
  </si>
  <si>
    <t>Group 2</t>
  </si>
  <si>
    <t>Group 3</t>
  </si>
  <si>
    <t>NFR</t>
  </si>
  <si>
    <t>FR</t>
  </si>
  <si>
    <t>Single</t>
  </si>
  <si>
    <t>Double</t>
  </si>
  <si>
    <t>Sub Work Category</t>
  </si>
  <si>
    <t>BOQ Description</t>
  </si>
  <si>
    <t>BOQ Qty</t>
  </si>
  <si>
    <t>Qty 1</t>
  </si>
  <si>
    <t>Qty 2</t>
  </si>
  <si>
    <t>Qty 3</t>
  </si>
  <si>
    <t>Qty 4</t>
  </si>
  <si>
    <t>Wastage %</t>
  </si>
  <si>
    <t>Wastage Qty</t>
  </si>
  <si>
    <t>Item Qty</t>
  </si>
  <si>
    <t>Resource Rate</t>
  </si>
  <si>
    <t>Global Wastage %</t>
  </si>
  <si>
    <t>Global Rate</t>
  </si>
  <si>
    <t>Project Wastage %</t>
  </si>
  <si>
    <t>Project Rate</t>
  </si>
  <si>
    <t>Project Resource Code</t>
  </si>
  <si>
    <t>C</t>
  </si>
  <si>
    <t>D</t>
  </si>
  <si>
    <t>E</t>
  </si>
  <si>
    <t>F</t>
  </si>
  <si>
    <t>G</t>
  </si>
  <si>
    <t>I</t>
  </si>
  <si>
    <t>J</t>
  </si>
  <si>
    <t>K</t>
  </si>
  <si>
    <t>M</t>
  </si>
  <si>
    <t>N</t>
  </si>
  <si>
    <t>MIS-001</t>
  </si>
  <si>
    <t>MIS-002</t>
  </si>
  <si>
    <t>MIS-003</t>
  </si>
  <si>
    <t>MIS-004</t>
  </si>
  <si>
    <t>MIS-005</t>
  </si>
  <si>
    <t>MIS-006</t>
  </si>
  <si>
    <t>MIS-007</t>
  </si>
  <si>
    <t>MIS-008</t>
  </si>
  <si>
    <t>MIS-009</t>
  </si>
  <si>
    <t>MIS-010</t>
  </si>
  <si>
    <t>Item Total Cost</t>
  </si>
  <si>
    <t>Total Qty</t>
  </si>
  <si>
    <t>PRJ-CIV-L-001</t>
  </si>
  <si>
    <t>PRJ-CIV-L-002</t>
  </si>
  <si>
    <t>PRJ-CIV-L-003</t>
  </si>
  <si>
    <t>PRJ-CIV-L-004</t>
  </si>
  <si>
    <t>PRJ-CIV-L-005</t>
  </si>
  <si>
    <t>PRJ-MEP-L-001</t>
  </si>
  <si>
    <t>PRJ-MEP-L-002</t>
  </si>
  <si>
    <t>PRJ-MEP-L-003</t>
  </si>
  <si>
    <t>PRJ-MEP-L-004</t>
  </si>
  <si>
    <t>PRJ-ID-L-001</t>
  </si>
  <si>
    <t>PRJ-ID-L-002</t>
  </si>
  <si>
    <t>Total Amount</t>
  </si>
  <si>
    <t>O</t>
  </si>
  <si>
    <t>P</t>
  </si>
  <si>
    <t>1I</t>
  </si>
  <si>
    <t>MIS-011</t>
  </si>
  <si>
    <t>MIS-012</t>
  </si>
  <si>
    <t>MIS-013</t>
  </si>
  <si>
    <t>MIS-014</t>
  </si>
  <si>
    <t>MIS-015</t>
  </si>
  <si>
    <t>MIS-016</t>
  </si>
  <si>
    <t>Prelims</t>
  </si>
  <si>
    <t>PRJ-MIS-PRLM-001</t>
  </si>
  <si>
    <t>PRJ-MIS-PRLM-002</t>
  </si>
  <si>
    <t>PRJ-MIS-PRLM-003</t>
  </si>
  <si>
    <t>PRJ-MIS-PRLM-004</t>
  </si>
  <si>
    <t>PRJ-MIS-PRLM-005</t>
  </si>
  <si>
    <t>PRJ-MIS-PRLM-006</t>
  </si>
  <si>
    <t>PRJ-MIS-PRLM-007</t>
  </si>
  <si>
    <t>PRJ-MIS-PRLM-008</t>
  </si>
  <si>
    <t>PRJ-MIS-PRLM-009</t>
  </si>
  <si>
    <t>PRJ-MIS-PS-001</t>
  </si>
  <si>
    <t>PRJ-MIS-PS-002</t>
  </si>
  <si>
    <t>PRJ-MIS-PS-003</t>
  </si>
  <si>
    <t>PRJ-MIS-PS-004</t>
  </si>
  <si>
    <t>PRJ-MIS-PS-005</t>
  </si>
  <si>
    <t>PRJ-MIS-PS-006</t>
  </si>
  <si>
    <t>PRJ-MIS-PS-007</t>
  </si>
  <si>
    <t>6g</t>
  </si>
  <si>
    <t>PRJ-ID-M-WD-001</t>
  </si>
  <si>
    <t>PRJ-ID-M-VNR-001</t>
  </si>
  <si>
    <t>PRJ-ID-M-VNR-002</t>
  </si>
  <si>
    <t>PRJ-ID-M-VNR-003</t>
  </si>
  <si>
    <t>PRJ-ID-M-DR-001</t>
  </si>
  <si>
    <t>PRJ-ID-M-DR-002</t>
  </si>
  <si>
    <t>PRJ-ID-M-DR-003</t>
  </si>
  <si>
    <t>PRJ-ID-M-DR-004</t>
  </si>
  <si>
    <t>PRJ-ID-M-WD-002</t>
  </si>
  <si>
    <t>PRJ-ID-M-BRD-001</t>
  </si>
  <si>
    <t>PRJ-ID-M-WD-003</t>
  </si>
  <si>
    <t>PRJ-ID-M-BRD-002</t>
  </si>
  <si>
    <t>PRJ-ID-M-BRD-003</t>
  </si>
  <si>
    <t>PRJ-CIV-M-CEM-001</t>
  </si>
  <si>
    <t>PRJ-CIV-M-SND-001</t>
  </si>
  <si>
    <t>PRJ-CIV-M-WTR-001</t>
  </si>
  <si>
    <t>PRJ-CIV-M-BRK-001</t>
  </si>
  <si>
    <t>PRJ-CIV-M-WTR-002</t>
  </si>
  <si>
    <t>PRJ-CIV-M-BRK-002</t>
  </si>
  <si>
    <t>PRJ-CIV-M-CEM-002</t>
  </si>
  <si>
    <t>PRJ-CIV-M-SND-002</t>
  </si>
  <si>
    <t>Item Description</t>
  </si>
  <si>
    <t>Vendor 1</t>
  </si>
  <si>
    <t>Vendor 2</t>
  </si>
  <si>
    <t>Vendor 3</t>
  </si>
  <si>
    <t>Selected</t>
  </si>
  <si>
    <t>Vendor 4</t>
  </si>
  <si>
    <t>Vendor 5</t>
  </si>
  <si>
    <t>Vendor 6</t>
  </si>
  <si>
    <t>Vendor 7</t>
  </si>
  <si>
    <t>PRJ-CIV-M-SND-003</t>
  </si>
  <si>
    <t>PRJ-SUB-001</t>
  </si>
  <si>
    <t>Subcontract</t>
  </si>
  <si>
    <t>PRJ-SUB-002</t>
  </si>
  <si>
    <t>PRJ-SUB-003</t>
  </si>
  <si>
    <t>PRJ-SUB-004</t>
  </si>
  <si>
    <t>PRJ-SUB-005</t>
  </si>
  <si>
    <t>PRJ-SUB-006</t>
  </si>
  <si>
    <t>PRJ-SUB-007</t>
  </si>
  <si>
    <t>PRJ-SUB-008</t>
  </si>
  <si>
    <t>PRJ-SUB-009</t>
  </si>
  <si>
    <t>PRJ-SUB-010</t>
  </si>
  <si>
    <t>PRJ-SUB-011</t>
  </si>
  <si>
    <t>PRJ-SUB-012</t>
  </si>
  <si>
    <t>PRJ-SUB-013</t>
  </si>
  <si>
    <t>PRJ-SUB-014</t>
  </si>
  <si>
    <t>PRJ-SUB-015</t>
  </si>
  <si>
    <t>Supplier 1</t>
  </si>
  <si>
    <t>Supplier 2</t>
  </si>
  <si>
    <t>Supplier 3</t>
  </si>
  <si>
    <t>Project Resouce Code</t>
  </si>
  <si>
    <t>(blank)</t>
  </si>
  <si>
    <t>Sum of Total Amount</t>
  </si>
  <si>
    <t>Subtype %</t>
  </si>
  <si>
    <t>Type %</t>
  </si>
  <si>
    <t>Category %</t>
  </si>
  <si>
    <t>Total Margin %</t>
  </si>
  <si>
    <t>Overhead Margin %</t>
  </si>
  <si>
    <t>Profit Margin %</t>
  </si>
  <si>
    <t>Logistics Margin %</t>
  </si>
  <si>
    <t>Contingency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</si>
</sst>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vertical="center"/>
    </xf>
    <xf numFmtId="43" fontId="0" fillId="0" borderId="0" xfId="1" applyFont="1" applyAlignment="1">
      <alignment horizontal="right"/>
    </xf>
    <xf numFmtId="43" fontId="2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43" fontId="0" fillId="2" borderId="1" xfId="0" applyNumberForma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2" fillId="0" borderId="1" xfId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right" vertic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43" fontId="0" fillId="0" borderId="1" xfId="1" applyFont="1" applyBorder="1"/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0" xfId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0" fillId="0" borderId="0" xfId="0" applyNumberFormat="1"/>
    <xf numFmtId="164" fontId="0" fillId="0" borderId="0" xfId="2" applyNumberFormat="1" applyFont="1" applyAlignment="1">
      <alignment horizontal="center" vertical="center"/>
    </xf>
    <xf numFmtId="0" fontId="0" fillId="0" borderId="1" xfId="0" pivotButton="1" applyBorder="1"/>
    <xf numFmtId="43" fontId="0" fillId="0" borderId="1" xfId="0" applyNumberFormat="1" applyBorder="1"/>
    <xf numFmtId="164" fontId="0" fillId="0" borderId="1" xfId="2" applyNumberFormat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2" fillId="3" borderId="1" xfId="2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2" fillId="0" borderId="1" xfId="1" applyNumberFormat="1" applyFont="1" applyBorder="1" applyAlignment="1">
      <alignment horizontal="center" vertical="center"/>
    </xf>
    <xf numFmtId="9" fontId="1" fillId="0" borderId="1" xfId="1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 Kumar Manoharan" refreshedDate="46262.574328356481" createdVersion="8" refreshedVersion="8" minRefreshableVersion="3" recordCount="64" xr:uid="{C6CCDD9F-380E-434C-95FC-CB8AD8FCC3FA}">
  <cacheSource type="worksheet">
    <worksheetSource ref="A1:P65" sheet="Project Resource Master"/>
  </cacheSource>
  <cacheFields count="16">
    <cacheField name="Sl. No." numFmtId="0">
      <sharedItems containsSemiMixedTypes="0" containsString="0" containsNumber="1" containsInteger="1" minValue="1" maxValue="64"/>
    </cacheField>
    <cacheField name="Resource Code" numFmtId="0">
      <sharedItems containsBlank="1"/>
    </cacheField>
    <cacheField name="Project Resource Code" numFmtId="0">
      <sharedItems/>
    </cacheField>
    <cacheField name="Resource Category" numFmtId="0">
      <sharedItems count="4">
        <s v="Material"/>
        <s v="Labour"/>
        <s v="Miscellaneous"/>
        <s v="Subcontract"/>
      </sharedItems>
    </cacheField>
    <cacheField name="Resource Type" numFmtId="0">
      <sharedItems count="11">
        <s v="Civil"/>
        <s v="ID"/>
        <s v="MEP"/>
        <s v="Prelims"/>
        <s v="Provisional Sum"/>
        <s v="Steel"/>
        <s v="Shuttering"/>
        <s v="Scaffolding"/>
        <s v="Gypsum"/>
        <s v="Flooring"/>
        <s v="Painting"/>
      </sharedItems>
    </cacheField>
    <cacheField name="Resource Sub-type" numFmtId="0">
      <sharedItems containsBlank="1" count="9">
        <s v="Cement"/>
        <s v="Sand"/>
        <s v="Water"/>
        <s v="Brick"/>
        <s v="Boards"/>
        <s v="Wood"/>
        <s v="Veneer"/>
        <s v="Door Core"/>
        <m/>
      </sharedItems>
    </cacheField>
    <cacheField name="Resource Description" numFmtId="0">
      <sharedItems/>
    </cacheField>
    <cacheField name="Resource Unit" numFmtId="0">
      <sharedItems/>
    </cacheField>
    <cacheField name="Resource Specification" numFmtId="0">
      <sharedItems containsBlank="1"/>
    </cacheField>
    <cacheField name="Brand" numFmtId="0">
      <sharedItems containsBlank="1"/>
    </cacheField>
    <cacheField name="Global Wastage %" numFmtId="9">
      <sharedItems containsSemiMixedTypes="0" containsString="0" containsNumber="1" minValue="0" maxValue="0.1"/>
    </cacheField>
    <cacheField name="Global Rate" numFmtId="0">
      <sharedItems containsString="0" containsBlank="1" containsNumber="1" containsInteger="1" minValue="100" maxValue="100000"/>
    </cacheField>
    <cacheField name="Project Wastage %" numFmtId="9">
      <sharedItems containsSemiMixedTypes="0" containsString="0" containsNumber="1" minValue="0" maxValue="0.2"/>
    </cacheField>
    <cacheField name="Project Rate" numFmtId="43">
      <sharedItems containsSemiMixedTypes="0" containsString="0" containsNumber="1" containsInteger="1" minValue="25" maxValue="123500"/>
    </cacheField>
    <cacheField name="Total Qty" numFmtId="43">
      <sharedItems containsSemiMixedTypes="0" containsString="0" containsNumber="1" minValue="1" maxValue="303600"/>
    </cacheField>
    <cacheField name="Total Amount" numFmtId="43">
      <sharedItems containsSemiMixedTypes="0" containsString="0" containsNumber="1" minValue="550" maxValue="151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1"/>
    <s v="CIV-M-CEM-002"/>
    <s v="PRJ-CIV-M-CEM-001"/>
    <x v="0"/>
    <x v="0"/>
    <x v="0"/>
    <s v="Cement OPC 43 Grade"/>
    <s v="bag"/>
    <s v="1 bag = 3kg"/>
    <m/>
    <n v="0.1"/>
    <n v="100"/>
    <n v="0.1"/>
    <n v="50"/>
    <n v="99192.5"/>
    <n v="4959625"/>
  </r>
  <r>
    <n v="2"/>
    <s v="CIV-M-CEM-003"/>
    <s v="PRJ-CIV-M-CEM-002"/>
    <x v="0"/>
    <x v="0"/>
    <x v="0"/>
    <s v="Cement OPC 53 Grade"/>
    <s v="bag"/>
    <s v="1 bag = 3kg"/>
    <m/>
    <n v="0.1"/>
    <n v="100"/>
    <n v="0.05"/>
    <n v="50"/>
    <n v="5250"/>
    <n v="262500"/>
  </r>
  <r>
    <n v="3"/>
    <s v="CIV-M-SND-004"/>
    <s v="PRJ-CIV-M-SND-001"/>
    <x v="0"/>
    <x v="0"/>
    <x v="1"/>
    <s v="M-Sand Grade A"/>
    <s v="unit"/>
    <s v="1 unit = 100 cft"/>
    <m/>
    <n v="0.1"/>
    <n v="100"/>
    <n v="0.1"/>
    <n v="50"/>
    <n v="1567.5"/>
    <n v="78375"/>
  </r>
  <r>
    <n v="4"/>
    <s v="CIV-M-SND-005"/>
    <s v="PRJ-CIV-M-SND-002"/>
    <x v="0"/>
    <x v="0"/>
    <x v="1"/>
    <s v="M-Sand Grade B"/>
    <s v="unit"/>
    <s v="1 unit = 100 cft"/>
    <m/>
    <n v="0.1"/>
    <n v="100"/>
    <n v="0.05"/>
    <n v="400"/>
    <n v="630"/>
    <n v="252000"/>
  </r>
  <r>
    <n v="5"/>
    <s v="CIV-M-SND-007"/>
    <s v="PRJ-CIV-M-SND-003"/>
    <x v="0"/>
    <x v="0"/>
    <x v="1"/>
    <s v="P-Sand Grade A"/>
    <s v="unit"/>
    <s v="1 unit = 100 cft"/>
    <m/>
    <n v="0.1"/>
    <n v="100"/>
    <n v="0.05"/>
    <n v="50"/>
    <n v="20139"/>
    <n v="1006950"/>
  </r>
  <r>
    <n v="6"/>
    <s v="CIV-M-WTR-001"/>
    <s v="PRJ-CIV-M-WTR-001"/>
    <x v="0"/>
    <x v="0"/>
    <x v="2"/>
    <s v="Water - Grade A"/>
    <s v="ltr"/>
    <m/>
    <m/>
    <n v="0.1"/>
    <n v="100"/>
    <n v="0.05"/>
    <n v="50"/>
    <n v="216352.5"/>
    <n v="10817625"/>
  </r>
  <r>
    <n v="7"/>
    <s v="CIV-M-WTR-002"/>
    <s v="PRJ-CIV-M-WTR-002"/>
    <x v="0"/>
    <x v="0"/>
    <x v="2"/>
    <s v="Water - Grade B"/>
    <s v="ltr"/>
    <m/>
    <m/>
    <n v="0.1"/>
    <n v="100"/>
    <n v="0.1"/>
    <n v="80"/>
    <n v="6600"/>
    <n v="528000"/>
  </r>
  <r>
    <n v="8"/>
    <s v="CIV-M-BRK-004"/>
    <s v="PRJ-CIV-M-BRK-001"/>
    <x v="0"/>
    <x v="0"/>
    <x v="3"/>
    <s v="Hollow Block Grade A"/>
    <s v="nos"/>
    <m/>
    <m/>
    <n v="0.1"/>
    <n v="100"/>
    <n v="0.05"/>
    <n v="50"/>
    <n v="144900"/>
    <n v="7245000"/>
  </r>
  <r>
    <n v="9"/>
    <s v="CIV-M-BRK-007"/>
    <s v="PRJ-CIV-M-BRK-002"/>
    <x v="0"/>
    <x v="0"/>
    <x v="3"/>
    <s v="Solid Block Grade A"/>
    <s v="nos"/>
    <m/>
    <m/>
    <n v="0.1"/>
    <n v="100"/>
    <n v="0.1"/>
    <n v="50"/>
    <n v="303600"/>
    <n v="15180000"/>
  </r>
  <r>
    <n v="10"/>
    <s v="ID-M-BRD-007"/>
    <s v="PRJ-ID-M-BRD-001"/>
    <x v="0"/>
    <x v="1"/>
    <x v="4"/>
    <s v="18mm MDF - Normal"/>
    <s v="board"/>
    <s v="1220 x 2440mm"/>
    <s v="Panel plus"/>
    <n v="0.1"/>
    <n v="100"/>
    <n v="0.05"/>
    <n v="50"/>
    <n v="1553.1250000000002"/>
    <n v="77656.250000000015"/>
  </r>
  <r>
    <n v="11"/>
    <s v="ID-M-BRD-015"/>
    <s v="PRJ-ID-M-BRD-003"/>
    <x v="0"/>
    <x v="1"/>
    <x v="4"/>
    <s v="9mm MDF - MR Grade"/>
    <s v="board"/>
    <s v="1220 x 2440mm"/>
    <s v="Panel plus"/>
    <n v="0.1"/>
    <n v="100"/>
    <n v="0.05"/>
    <n v="50"/>
    <n v="364.58333333333337"/>
    <n v="18229.166666666668"/>
  </r>
  <r>
    <n v="12"/>
    <s v="ID-M-BRD-018"/>
    <s v="PRJ-ID-M-BRD-002"/>
    <x v="0"/>
    <x v="1"/>
    <x v="4"/>
    <s v="18mm MDF - MR Grade"/>
    <s v="board"/>
    <s v="1220 x 2440mm"/>
    <s v="Panel plus"/>
    <n v="0.1"/>
    <n v="100"/>
    <n v="0.1"/>
    <n v="50"/>
    <n v="381.94444444444451"/>
    <n v="19097.222222222226"/>
  </r>
  <r>
    <n v="13"/>
    <s v="ID-M-WD-002"/>
    <s v="PRJ-ID-M-WD-003"/>
    <x v="0"/>
    <x v="1"/>
    <x v="5"/>
    <s v="Meranti wood - 2&quot; x 8&quot; - AD"/>
    <s v="cft"/>
    <m/>
    <m/>
    <n v="0.1"/>
    <n v="100"/>
    <n v="0.1"/>
    <n v="80"/>
    <n v="1241.7777777777776"/>
    <n v="99342.222222222204"/>
  </r>
  <r>
    <n v="14"/>
    <s v="ID-M-WD-006"/>
    <s v="PRJ-ID-M-WD-001"/>
    <x v="0"/>
    <x v="1"/>
    <x v="5"/>
    <s v="Ash wood - 2&quot; x 8&quot; - AD"/>
    <s v="cft"/>
    <m/>
    <m/>
    <n v="0.1"/>
    <n v="100"/>
    <n v="0.1"/>
    <n v="50"/>
    <n v="1547.4097222222219"/>
    <n v="77370.486111111095"/>
  </r>
  <r>
    <n v="15"/>
    <s v="ID-M-WD-042"/>
    <s v="PRJ-ID-M-WD-002"/>
    <x v="0"/>
    <x v="1"/>
    <x v="5"/>
    <s v="Beech wood - 2&quot; x 8&quot; - KD"/>
    <s v="cft"/>
    <m/>
    <m/>
    <n v="0.1"/>
    <n v="100"/>
    <n v="0.1"/>
    <n v="50"/>
    <n v="1814.2361111111113"/>
    <n v="90711.805555555562"/>
  </r>
  <r>
    <n v="16"/>
    <s v="ID-M-VNR-001"/>
    <s v="PRJ-ID-M-VNR-001"/>
    <x v="0"/>
    <x v="1"/>
    <x v="6"/>
    <s v="Ash veneer - Q-Cut"/>
    <s v="sqm"/>
    <m/>
    <m/>
    <n v="0.1"/>
    <n v="100"/>
    <n v="0.05"/>
    <n v="80"/>
    <n v="4011"/>
    <n v="320880"/>
  </r>
  <r>
    <n v="17"/>
    <s v="ID-M-VNR-002"/>
    <s v="PRJ-ID-M-VNR-003"/>
    <x v="0"/>
    <x v="1"/>
    <x v="6"/>
    <s v="Beech veneer - Q-Cut"/>
    <s v="sqm"/>
    <m/>
    <m/>
    <n v="0.1"/>
    <n v="100"/>
    <n v="0.1"/>
    <n v="50"/>
    <n v="6380"/>
    <n v="319000"/>
  </r>
  <r>
    <n v="18"/>
    <s v="ID-M-VNR-019"/>
    <s v="PRJ-ID-M-VNR-002"/>
    <x v="0"/>
    <x v="1"/>
    <x v="6"/>
    <s v="Balancer Veneer"/>
    <s v="sqm"/>
    <m/>
    <m/>
    <n v="0.1"/>
    <n v="100"/>
    <n v="0.05"/>
    <n v="50"/>
    <n v="7161"/>
    <n v="358050"/>
  </r>
  <r>
    <n v="19"/>
    <s v="ID-M-DR-001"/>
    <s v="PRJ-ID-M-DR-002"/>
    <x v="0"/>
    <x v="1"/>
    <x v="7"/>
    <s v="44mm thick NON FR Hollow Door Core"/>
    <s v="board"/>
    <s v="1220 x 2440mm"/>
    <m/>
    <n v="0.1"/>
    <n v="100"/>
    <n v="0.1"/>
    <n v="50"/>
    <n v="220.00000000000003"/>
    <n v="11000.000000000002"/>
  </r>
  <r>
    <n v="20"/>
    <s v="ID-M-DR-002"/>
    <s v="PRJ-ID-M-DR-001"/>
    <x v="0"/>
    <x v="1"/>
    <x v="7"/>
    <s v="44mm thick NON FR Solid Door Core"/>
    <s v="board"/>
    <s v="915 x 2135mm"/>
    <m/>
    <n v="0.1"/>
    <n v="100"/>
    <n v="0.05"/>
    <n v="50"/>
    <n v="315"/>
    <n v="15750"/>
  </r>
  <r>
    <n v="21"/>
    <s v="ID-M-DR-009"/>
    <s v="PRJ-ID-M-DR-003"/>
    <x v="0"/>
    <x v="1"/>
    <x v="7"/>
    <s v="54mm thick 60mins FR Door Core"/>
    <s v="board"/>
    <s v="1220 x 2440mm"/>
    <m/>
    <n v="0.1"/>
    <n v="100"/>
    <n v="0.1"/>
    <n v="50"/>
    <n v="110.00000000000001"/>
    <n v="5500.0000000000009"/>
  </r>
  <r>
    <n v="22"/>
    <s v="ID-M-DR-013"/>
    <s v="PRJ-ID-M-DR-004"/>
    <x v="0"/>
    <x v="1"/>
    <x v="7"/>
    <s v="64mm thick 120mins FR Door Core"/>
    <s v="board"/>
    <s v="1220 x 2440mm"/>
    <m/>
    <n v="0.1"/>
    <n v="100"/>
    <n v="0.1"/>
    <n v="50"/>
    <n v="110.00000000000001"/>
    <n v="5500.0000000000009"/>
  </r>
  <r>
    <n v="23"/>
    <s v="CIV-L-001"/>
    <s v="PRJ-CIV-L-001"/>
    <x v="1"/>
    <x v="0"/>
    <x v="8"/>
    <s v="Stone Mason"/>
    <s v="hr"/>
    <m/>
    <m/>
    <n v="0.1"/>
    <n v="100"/>
    <n v="0.05"/>
    <n v="80"/>
    <n v="10.5"/>
    <n v="840"/>
  </r>
  <r>
    <n v="24"/>
    <s v="CIV-L-002"/>
    <s v="PRJ-CIV-L-002"/>
    <x v="1"/>
    <x v="0"/>
    <x v="8"/>
    <s v="Brick Mason"/>
    <s v="hr"/>
    <m/>
    <m/>
    <n v="0.1"/>
    <n v="100"/>
    <n v="0.1"/>
    <n v="50"/>
    <n v="22"/>
    <n v="1100"/>
  </r>
  <r>
    <n v="25"/>
    <s v="CIV-L-003"/>
    <s v="PRJ-CIV-L-003"/>
    <x v="1"/>
    <x v="0"/>
    <x v="8"/>
    <s v="Plastering Mason"/>
    <s v="hr"/>
    <m/>
    <m/>
    <n v="0.1"/>
    <n v="100"/>
    <n v="0.05"/>
    <n v="50"/>
    <n v="146265"/>
    <n v="7313250"/>
  </r>
  <r>
    <n v="26"/>
    <s v="CIV-L-004"/>
    <s v="PRJ-CIV-L-004"/>
    <x v="1"/>
    <x v="0"/>
    <x v="8"/>
    <s v="Concrete Mason"/>
    <s v="hr"/>
    <m/>
    <m/>
    <n v="0.1"/>
    <n v="100"/>
    <n v="0.1"/>
    <n v="100"/>
    <n v="11137.5"/>
    <n v="1113750"/>
  </r>
  <r>
    <n v="27"/>
    <s v="CIV-L-005"/>
    <s v="PRJ-CIV-L-005"/>
    <x v="1"/>
    <x v="0"/>
    <x v="8"/>
    <s v="Helper"/>
    <s v="hr"/>
    <m/>
    <m/>
    <n v="0.1"/>
    <n v="100"/>
    <n v="0.05"/>
    <n v="50"/>
    <n v="156928.79999999999"/>
    <n v="7846439.9999999991"/>
  </r>
  <r>
    <n v="28"/>
    <s v="MEP-L-001"/>
    <s v="PRJ-MEP-L-001"/>
    <x v="1"/>
    <x v="2"/>
    <x v="8"/>
    <s v="Helper"/>
    <s v="hr"/>
    <m/>
    <m/>
    <n v="0.1"/>
    <n v="100"/>
    <n v="0.1"/>
    <n v="50"/>
    <n v="77"/>
    <n v="3850"/>
  </r>
  <r>
    <n v="29"/>
    <s v="MEP-L-004"/>
    <s v="PRJ-MEP-L-002"/>
    <x v="1"/>
    <x v="2"/>
    <x v="8"/>
    <s v="Mechanic"/>
    <s v="hr"/>
    <m/>
    <m/>
    <n v="0.1"/>
    <n v="100"/>
    <n v="0.05"/>
    <n v="80"/>
    <n v="42"/>
    <n v="3360"/>
  </r>
  <r>
    <n v="30"/>
    <s v="MEP-L-005"/>
    <s v="PRJ-MEP-L-003"/>
    <x v="1"/>
    <x v="2"/>
    <x v="8"/>
    <s v="HVAC Technician"/>
    <s v="hr"/>
    <m/>
    <m/>
    <n v="0.1"/>
    <n v="100"/>
    <n v="0.1"/>
    <n v="50"/>
    <n v="11"/>
    <n v="550"/>
  </r>
  <r>
    <n v="31"/>
    <s v="MEP-L-006"/>
    <s v="PRJ-MEP-L-004"/>
    <x v="1"/>
    <x v="2"/>
    <x v="8"/>
    <s v="IT Technician"/>
    <s v="hr"/>
    <m/>
    <m/>
    <n v="0.1"/>
    <n v="100"/>
    <n v="0.05"/>
    <n v="50"/>
    <n v="21"/>
    <n v="1050"/>
  </r>
  <r>
    <n v="32"/>
    <s v="ID-L-003"/>
    <s v="PRJ-ID-L-002"/>
    <x v="1"/>
    <x v="1"/>
    <x v="8"/>
    <s v="Helper"/>
    <s v="hr"/>
    <m/>
    <m/>
    <n v="0.1"/>
    <n v="100"/>
    <n v="0.2"/>
    <n v="100"/>
    <n v="54662.400000000001"/>
    <n v="5466240"/>
  </r>
  <r>
    <n v="33"/>
    <s v="ID-L-004"/>
    <s v="PRJ-ID-L-001"/>
    <x v="1"/>
    <x v="1"/>
    <x v="8"/>
    <s v="Carpenter"/>
    <s v="hr"/>
    <m/>
    <m/>
    <n v="0.1"/>
    <n v="100"/>
    <n v="0.2"/>
    <n v="100"/>
    <n v="54602.400000000001"/>
    <n v="5460240"/>
  </r>
  <r>
    <n v="34"/>
    <s v="MIS-001"/>
    <s v="PRJ-MIS-PRLM-001"/>
    <x v="2"/>
    <x v="3"/>
    <x v="8"/>
    <s v="Site Co-ordination"/>
    <s v="L/s"/>
    <m/>
    <m/>
    <n v="0"/>
    <n v="100000"/>
    <n v="0"/>
    <n v="100000"/>
    <n v="1"/>
    <n v="100000"/>
  </r>
  <r>
    <n v="35"/>
    <s v="MIS-002"/>
    <s v="PRJ-MIS-PRLM-002"/>
    <x v="2"/>
    <x v="3"/>
    <x v="8"/>
    <s v="Shop Drawings"/>
    <s v="L/s"/>
    <m/>
    <m/>
    <n v="0"/>
    <n v="100000"/>
    <n v="0"/>
    <n v="100000"/>
    <n v="1"/>
    <n v="100000"/>
  </r>
  <r>
    <n v="36"/>
    <s v="MIS-003"/>
    <s v="PRJ-MIS-PRLM-003"/>
    <x v="2"/>
    <x v="3"/>
    <x v="8"/>
    <s v="As-Built Drawings"/>
    <s v="L/s"/>
    <m/>
    <m/>
    <n v="0"/>
    <n v="100000"/>
    <n v="0"/>
    <n v="100000"/>
    <n v="1"/>
    <n v="100000"/>
  </r>
  <r>
    <n v="37"/>
    <s v="MIS-004"/>
    <s v="PRJ-MIS-PRLM-004"/>
    <x v="2"/>
    <x v="3"/>
    <x v="8"/>
    <s v="Material Submittals"/>
    <s v="L/s"/>
    <m/>
    <m/>
    <n v="0"/>
    <n v="100000"/>
    <n v="0"/>
    <n v="100000"/>
    <n v="1"/>
    <n v="100000"/>
  </r>
  <r>
    <n v="38"/>
    <s v="MIS-005"/>
    <s v="PRJ-MIS-PRLM-005"/>
    <x v="2"/>
    <x v="3"/>
    <x v="8"/>
    <s v="Sample Preparation"/>
    <s v="L/s"/>
    <m/>
    <m/>
    <n v="0"/>
    <n v="100000"/>
    <n v="0"/>
    <n v="100000"/>
    <n v="1"/>
    <n v="100000"/>
  </r>
  <r>
    <n v="39"/>
    <s v="MIS-006"/>
    <s v="PRJ-MIS-PRLM-006"/>
    <x v="2"/>
    <x v="3"/>
    <x v="8"/>
    <s v="Mock-ups"/>
    <s v="L/s"/>
    <m/>
    <m/>
    <n v="0"/>
    <n v="100000"/>
    <n v="0"/>
    <n v="100000"/>
    <n v="1"/>
    <n v="100000"/>
  </r>
  <r>
    <n v="40"/>
    <s v="MIS-007"/>
    <s v="PRJ-MIS-PRLM-007"/>
    <x v="2"/>
    <x v="3"/>
    <x v="8"/>
    <s v="Bonds"/>
    <s v="L/s"/>
    <m/>
    <m/>
    <n v="0"/>
    <n v="100000"/>
    <n v="0"/>
    <n v="100000"/>
    <n v="1"/>
    <n v="100000"/>
  </r>
  <r>
    <n v="41"/>
    <s v="MIS-008"/>
    <s v="PRJ-MIS-PRLM-008"/>
    <x v="2"/>
    <x v="3"/>
    <x v="8"/>
    <s v="Site-Office Setup"/>
    <s v="L/s"/>
    <m/>
    <m/>
    <n v="0"/>
    <n v="100000"/>
    <n v="0"/>
    <n v="100000"/>
    <n v="1"/>
    <n v="100000"/>
  </r>
  <r>
    <n v="42"/>
    <s v="MIS-009"/>
    <s v="PRJ-MIS-PRLM-009"/>
    <x v="2"/>
    <x v="3"/>
    <x v="8"/>
    <s v="Insurances"/>
    <s v="L/s"/>
    <m/>
    <m/>
    <n v="0"/>
    <n v="100000"/>
    <n v="0"/>
    <n v="100000"/>
    <n v="1"/>
    <n v="100000"/>
  </r>
  <r>
    <n v="43"/>
    <s v="MIS-010"/>
    <s v="PRJ-MIS-PS-001"/>
    <x v="2"/>
    <x v="4"/>
    <x v="8"/>
    <s v="Loose Furniture"/>
    <s v="L/s"/>
    <m/>
    <m/>
    <n v="0"/>
    <n v="100000"/>
    <n v="0"/>
    <n v="100000"/>
    <n v="1"/>
    <n v="100000"/>
  </r>
  <r>
    <n v="44"/>
    <s v="MIS-011"/>
    <s v="PRJ-MIS-PS-002"/>
    <x v="2"/>
    <x v="4"/>
    <x v="8"/>
    <s v="MEP Works"/>
    <s v="L/s"/>
    <m/>
    <m/>
    <n v="0"/>
    <n v="100000"/>
    <n v="0"/>
    <n v="100000"/>
    <n v="1"/>
    <n v="100000"/>
  </r>
  <r>
    <n v="45"/>
    <s v="MIS-012"/>
    <s v="PRJ-MIS-PS-003"/>
    <x v="2"/>
    <x v="4"/>
    <x v="8"/>
    <s v="HVAC Works"/>
    <s v="L/s"/>
    <m/>
    <m/>
    <n v="0"/>
    <n v="100000"/>
    <n v="0"/>
    <n v="100000"/>
    <n v="1"/>
    <n v="100000"/>
  </r>
  <r>
    <n v="46"/>
    <s v="MIS-013"/>
    <s v="PRJ-MIS-PS-004"/>
    <x v="2"/>
    <x v="4"/>
    <x v="8"/>
    <s v="Elevators"/>
    <s v="L/s"/>
    <m/>
    <m/>
    <n v="0"/>
    <n v="100000"/>
    <n v="0"/>
    <n v="100000"/>
    <n v="1"/>
    <n v="100000"/>
  </r>
  <r>
    <n v="47"/>
    <s v="MIS-014"/>
    <s v="PRJ-MIS-PS-005"/>
    <x v="2"/>
    <x v="4"/>
    <x v="8"/>
    <s v="IT Systems"/>
    <s v="L/s"/>
    <m/>
    <m/>
    <n v="0"/>
    <n v="100000"/>
    <n v="0"/>
    <n v="100000"/>
    <n v="1"/>
    <n v="100000"/>
  </r>
  <r>
    <n v="48"/>
    <s v="MIS-015"/>
    <s v="PRJ-MIS-PS-006"/>
    <x v="2"/>
    <x v="4"/>
    <x v="8"/>
    <s v="CCTV Systems"/>
    <s v="L/s"/>
    <m/>
    <m/>
    <n v="0"/>
    <n v="100000"/>
    <n v="0"/>
    <n v="100000"/>
    <n v="1"/>
    <n v="100000"/>
  </r>
  <r>
    <n v="49"/>
    <s v="MIS-016"/>
    <s v="PRJ-MIS-PS-007"/>
    <x v="2"/>
    <x v="4"/>
    <x v="8"/>
    <s v="Signage Works"/>
    <s v="L/s"/>
    <m/>
    <m/>
    <n v="0"/>
    <n v="100000"/>
    <n v="0"/>
    <n v="100000"/>
    <n v="1"/>
    <n v="100000"/>
  </r>
  <r>
    <n v="50"/>
    <m/>
    <s v="PRJ-SUB-001"/>
    <x v="3"/>
    <x v="5"/>
    <x v="8"/>
    <s v="Pre-tensioning works"/>
    <s v="Cost"/>
    <m/>
    <m/>
    <n v="0"/>
    <m/>
    <n v="0"/>
    <n v="123500"/>
    <n v="1"/>
    <n v="123500"/>
  </r>
  <r>
    <n v="51"/>
    <m/>
    <s v="PRJ-SUB-002"/>
    <x v="3"/>
    <x v="6"/>
    <x v="8"/>
    <s v="Shuttering for Columns"/>
    <s v="Cost"/>
    <m/>
    <m/>
    <n v="0"/>
    <m/>
    <n v="0"/>
    <n v="150"/>
    <n v="6850"/>
    <n v="1027500"/>
  </r>
  <r>
    <n v="52"/>
    <m/>
    <s v="PRJ-SUB-003"/>
    <x v="3"/>
    <x v="6"/>
    <x v="8"/>
    <s v="Shuttering for Beams"/>
    <s v="Cost"/>
    <m/>
    <m/>
    <n v="0"/>
    <m/>
    <n v="0"/>
    <n v="180"/>
    <n v="1400"/>
    <n v="252000"/>
  </r>
  <r>
    <n v="53"/>
    <m/>
    <s v="PRJ-SUB-004"/>
    <x v="3"/>
    <x v="6"/>
    <x v="8"/>
    <s v="Shuttering for Slabs"/>
    <s v="Cost"/>
    <m/>
    <m/>
    <n v="0"/>
    <m/>
    <n v="0"/>
    <n v="190"/>
    <n v="2000"/>
    <n v="380000"/>
  </r>
  <r>
    <n v="54"/>
    <m/>
    <s v="PRJ-SUB-005"/>
    <x v="3"/>
    <x v="7"/>
    <x v="8"/>
    <s v="Scaffolding for Columns"/>
    <s v="Cost"/>
    <m/>
    <m/>
    <n v="0"/>
    <m/>
    <n v="0"/>
    <n v="80"/>
    <n v="6850"/>
    <n v="548000"/>
  </r>
  <r>
    <n v="55"/>
    <m/>
    <s v="PRJ-SUB-006"/>
    <x v="3"/>
    <x v="7"/>
    <x v="8"/>
    <s v="Scaffolding for Beams"/>
    <s v="Cost"/>
    <m/>
    <m/>
    <n v="0"/>
    <m/>
    <n v="0"/>
    <n v="50"/>
    <n v="1400"/>
    <n v="70000"/>
  </r>
  <r>
    <n v="56"/>
    <m/>
    <s v="PRJ-SUB-007"/>
    <x v="3"/>
    <x v="7"/>
    <x v="8"/>
    <s v="Scaffolding for Slabs"/>
    <s v="Cost"/>
    <m/>
    <m/>
    <n v="0"/>
    <m/>
    <n v="0"/>
    <n v="80"/>
    <n v="2000"/>
    <n v="160000"/>
  </r>
  <r>
    <n v="57"/>
    <m/>
    <s v="PRJ-SUB-008"/>
    <x v="3"/>
    <x v="8"/>
    <x v="8"/>
    <s v="100mm Gypsum Partitions"/>
    <s v="Cost"/>
    <m/>
    <m/>
    <n v="0"/>
    <m/>
    <n v="0"/>
    <n v="125"/>
    <n v="680"/>
    <n v="85000"/>
  </r>
  <r>
    <n v="58"/>
    <m/>
    <s v="PRJ-SUB-009"/>
    <x v="3"/>
    <x v="8"/>
    <x v="8"/>
    <s v="150mm Gypsum Partitions"/>
    <s v="Cost"/>
    <m/>
    <m/>
    <n v="0"/>
    <m/>
    <n v="0"/>
    <n v="100"/>
    <n v="680"/>
    <n v="68000"/>
  </r>
  <r>
    <n v="59"/>
    <m/>
    <s v="PRJ-SUB-010"/>
    <x v="3"/>
    <x v="8"/>
    <x v="8"/>
    <s v="200mm Gypsum Partitions"/>
    <s v="Cost"/>
    <m/>
    <m/>
    <n v="0"/>
    <m/>
    <n v="0"/>
    <n v="50"/>
    <n v="680"/>
    <n v="34000"/>
  </r>
  <r>
    <n v="60"/>
    <m/>
    <s v="PRJ-SUB-011"/>
    <x v="3"/>
    <x v="9"/>
    <x v="8"/>
    <s v="600x600mm Porcelain Tile Flooring"/>
    <s v="Cost"/>
    <m/>
    <m/>
    <n v="0"/>
    <m/>
    <n v="0"/>
    <n v="125"/>
    <n v="1500"/>
    <n v="187500"/>
  </r>
  <r>
    <n v="61"/>
    <m/>
    <s v="PRJ-SUB-012"/>
    <x v="3"/>
    <x v="10"/>
    <x v="8"/>
    <s v="Interior Emulsion Paint Finish"/>
    <s v="Cost"/>
    <m/>
    <m/>
    <n v="0"/>
    <m/>
    <n v="0"/>
    <n v="45"/>
    <n v="3720"/>
    <n v="167400"/>
  </r>
  <r>
    <n v="62"/>
    <m/>
    <s v="PRJ-SUB-013"/>
    <x v="3"/>
    <x v="10"/>
    <x v="8"/>
    <s v="Exerior Emulsion Paint Finish"/>
    <s v="Cost"/>
    <m/>
    <m/>
    <n v="0"/>
    <m/>
    <n v="0"/>
    <n v="45"/>
    <n v="1560"/>
    <n v="70200"/>
  </r>
  <r>
    <n v="63"/>
    <m/>
    <s v="PRJ-SUB-014"/>
    <x v="3"/>
    <x v="10"/>
    <x v="8"/>
    <s v="Decorative Texture Plaster Finish"/>
    <s v="Cost"/>
    <m/>
    <m/>
    <n v="0"/>
    <m/>
    <n v="0"/>
    <n v="25"/>
    <n v="900"/>
    <n v="22500"/>
  </r>
  <r>
    <n v="64"/>
    <m/>
    <s v="PRJ-SUB-015"/>
    <x v="3"/>
    <x v="8"/>
    <x v="8"/>
    <s v="Gypsum False Ceiling"/>
    <s v="Cost"/>
    <m/>
    <m/>
    <n v="0"/>
    <m/>
    <n v="0"/>
    <n v="125"/>
    <n v="300"/>
    <n v="3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1F31-43B1-40E2-92BF-A621D931B59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21" firstHeaderRow="1" firstDataRow="1" firstDataCol="3"/>
  <pivotFields count="16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1"/>
        <item x="0"/>
        <item x="2"/>
        <item x="3"/>
      </items>
    </pivotField>
    <pivotField axis="axisRow" compact="0" outline="0" showAll="0" defaultSubtotal="0">
      <items count="11">
        <item x="0"/>
        <item x="9"/>
        <item x="8"/>
        <item x="1"/>
        <item x="2"/>
        <item x="10"/>
        <item x="3"/>
        <item x="4"/>
        <item x="7"/>
        <item x="6"/>
        <item x="5"/>
      </items>
    </pivotField>
    <pivotField axis="axisRow" compact="0" outline="0" showAll="0" defaultSubtotal="0">
      <items count="9">
        <item x="4"/>
        <item x="3"/>
        <item x="0"/>
        <item x="7"/>
        <item x="1"/>
        <item x="6"/>
        <item x="2"/>
        <item x="5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9" outline="0" showAll="0" defaultSubtotal="0"/>
    <pivotField compact="0" outline="0" showAll="0" defaultSubtotal="0"/>
    <pivotField compact="0" numFmtId="9" outline="0" showAll="0" defaultSubtotal="0"/>
    <pivotField compact="0" numFmtId="43" outline="0" showAll="0" defaultSubtotal="0"/>
    <pivotField compact="0" numFmtId="43" outline="0" showAll="0" defaultSubtotal="0"/>
    <pivotField dataField="1" compact="0" numFmtId="43" outline="0" showAll="0" defaultSubtotal="0"/>
  </pivotFields>
  <rowFields count="3">
    <field x="3"/>
    <field x="4"/>
    <field x="5"/>
  </rowFields>
  <rowItems count="20">
    <i>
      <x/>
      <x/>
      <x v="8"/>
    </i>
    <i r="1">
      <x v="3"/>
      <x v="8"/>
    </i>
    <i r="1">
      <x v="4"/>
      <x v="8"/>
    </i>
    <i>
      <x v="1"/>
      <x/>
      <x v="1"/>
    </i>
    <i r="2">
      <x v="2"/>
    </i>
    <i r="2">
      <x v="4"/>
    </i>
    <i r="2">
      <x v="6"/>
    </i>
    <i r="1">
      <x v="3"/>
      <x/>
    </i>
    <i r="2">
      <x v="3"/>
    </i>
    <i r="2">
      <x v="5"/>
    </i>
    <i r="2">
      <x v="7"/>
    </i>
    <i>
      <x v="2"/>
      <x v="6"/>
      <x v="8"/>
    </i>
    <i r="1">
      <x v="7"/>
      <x v="8"/>
    </i>
    <i>
      <x v="3"/>
      <x v="1"/>
      <x v="8"/>
    </i>
    <i r="1">
      <x v="2"/>
      <x v="8"/>
    </i>
    <i r="1">
      <x v="5"/>
      <x v="8"/>
    </i>
    <i r="1">
      <x v="8"/>
      <x v="8"/>
    </i>
    <i r="1">
      <x v="9"/>
      <x v="8"/>
    </i>
    <i r="1">
      <x v="10"/>
      <x v="8"/>
    </i>
    <i t="grand">
      <x/>
    </i>
  </rowItems>
  <colItems count="1">
    <i/>
  </colItems>
  <dataFields count="1">
    <dataField name="Sum of Total Amount" fld="15" baseField="0" baseItem="0" numFmtId="43"/>
  </dataFields>
  <formats count="2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field="4" type="button" dataOnly="0" labelOnly="1" outline="0" axis="axisRow" fieldPosition="1"/>
    </format>
    <format dxfId="20">
      <pivotArea field="5" type="button" dataOnly="0" labelOnly="1" outline="0" axis="axisRow" fieldPosition="2"/>
    </format>
    <format dxfId="19">
      <pivotArea dataOnly="0" labelOnly="1" outline="0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2">
          <reference field="3" count="1" selected="0">
            <x v="0"/>
          </reference>
          <reference field="4" count="3">
            <x v="0"/>
            <x v="3"/>
            <x v="4"/>
          </reference>
        </references>
      </pivotArea>
    </format>
    <format dxfId="16">
      <pivotArea dataOnly="0" labelOnly="1" outline="0" fieldPosition="0">
        <references count="2">
          <reference field="3" count="1" selected="0">
            <x v="1"/>
          </reference>
          <reference field="4" count="2">
            <x v="0"/>
            <x v="3"/>
          </reference>
        </references>
      </pivotArea>
    </format>
    <format dxfId="15">
      <pivotArea dataOnly="0" labelOnly="1" outline="0" fieldPosition="0">
        <references count="2">
          <reference field="3" count="1" selected="0">
            <x v="2"/>
          </reference>
          <reference field="4" count="2">
            <x v="6"/>
            <x v="7"/>
          </reference>
        </references>
      </pivotArea>
    </format>
    <format dxfId="14">
      <pivotArea dataOnly="0" labelOnly="1" outline="0" fieldPosition="0">
        <references count="2">
          <reference field="3" count="1" selected="0">
            <x v="3"/>
          </reference>
          <reference field="4" count="6">
            <x v="1"/>
            <x v="2"/>
            <x v="5"/>
            <x v="8"/>
            <x v="9"/>
            <x v="10"/>
          </reference>
        </references>
      </pivotArea>
    </format>
    <format dxfId="13">
      <pivotArea dataOnly="0" labelOnly="1" outline="0" fieldPosition="0">
        <references count="3">
          <reference field="3" count="1" selected="0">
            <x v="0"/>
          </reference>
          <reference field="4" count="1" selected="0">
            <x v="0"/>
          </reference>
          <reference field="5" count="1">
            <x v="8"/>
          </reference>
        </references>
      </pivotArea>
    </format>
    <format dxfId="12">
      <pivotArea dataOnly="0" labelOnly="1" outline="0" fieldPosition="0">
        <references count="3">
          <reference field="3" count="1" selected="0">
            <x v="0"/>
          </reference>
          <reference field="4" count="1" selected="0">
            <x v="3"/>
          </reference>
          <reference field="5" count="1">
            <x v="8"/>
          </reference>
        </references>
      </pivotArea>
    </format>
    <format dxfId="11">
      <pivotArea dataOnly="0" labelOnly="1" outline="0" fieldPosition="0">
        <references count="3">
          <reference field="3" count="1" selected="0">
            <x v="0"/>
          </reference>
          <reference field="4" count="1" selected="0">
            <x v="4"/>
          </reference>
          <reference field="5" count="1">
            <x v="8"/>
          </reference>
        </references>
      </pivotArea>
    </format>
    <format dxfId="10">
      <pivotArea dataOnly="0" labelOnly="1" outline="0" fieldPosition="0">
        <references count="3">
          <reference field="3" count="1" selected="0">
            <x v="1"/>
          </reference>
          <reference field="4" count="1" selected="0">
            <x v="0"/>
          </reference>
          <reference field="5" count="4">
            <x v="1"/>
            <x v="2"/>
            <x v="4"/>
            <x v="6"/>
          </reference>
        </references>
      </pivotArea>
    </format>
    <format dxfId="9">
      <pivotArea dataOnly="0" labelOnly="1" outline="0" fieldPosition="0">
        <references count="3">
          <reference field="3" count="1" selected="0">
            <x v="1"/>
          </reference>
          <reference field="4" count="1" selected="0">
            <x v="3"/>
          </reference>
          <reference field="5" count="4">
            <x v="0"/>
            <x v="3"/>
            <x v="5"/>
            <x v="7"/>
          </reference>
        </references>
      </pivotArea>
    </format>
    <format dxfId="8">
      <pivotArea dataOnly="0" labelOnly="1" outline="0" fieldPosition="0">
        <references count="3">
          <reference field="3" count="1" selected="0">
            <x v="2"/>
          </reference>
          <reference field="4" count="1" selected="0">
            <x v="6"/>
          </reference>
          <reference field="5" count="1">
            <x v="8"/>
          </reference>
        </references>
      </pivotArea>
    </format>
    <format dxfId="7">
      <pivotArea dataOnly="0" labelOnly="1" outline="0" fieldPosition="0">
        <references count="3">
          <reference field="3" count="1" selected="0">
            <x v="2"/>
          </reference>
          <reference field="4" count="1" selected="0">
            <x v="7"/>
          </reference>
          <reference field="5" count="1">
            <x v="8"/>
          </reference>
        </references>
      </pivotArea>
    </format>
    <format dxfId="6">
      <pivotArea dataOnly="0" labelOnly="1" outline="0" fieldPosition="0">
        <references count="3">
          <reference field="3" count="1" selected="0">
            <x v="3"/>
          </reference>
          <reference field="4" count="1" selected="0">
            <x v="1"/>
          </reference>
          <reference field="5" count="1">
            <x v="8"/>
          </reference>
        </references>
      </pivotArea>
    </format>
    <format dxfId="5">
      <pivotArea dataOnly="0" labelOnly="1" outline="0" fieldPosition="0">
        <references count="3">
          <reference field="3" count="1" selected="0">
            <x v="3"/>
          </reference>
          <reference field="4" count="1" selected="0">
            <x v="2"/>
          </reference>
          <reference field="5" count="1">
            <x v="8"/>
          </reference>
        </references>
      </pivotArea>
    </format>
    <format dxfId="4">
      <pivotArea dataOnly="0" labelOnly="1" outline="0" fieldPosition="0">
        <references count="3">
          <reference field="3" count="1" selected="0">
            <x v="3"/>
          </reference>
          <reference field="4" count="1" selected="0">
            <x v="5"/>
          </reference>
          <reference field="5" count="1">
            <x v="8"/>
          </reference>
        </references>
      </pivotArea>
    </format>
    <format dxfId="3">
      <pivotArea dataOnly="0" labelOnly="1" outline="0" fieldPosition="0">
        <references count="3">
          <reference field="3" count="1" selected="0">
            <x v="3"/>
          </reference>
          <reference field="4" count="1" selected="0">
            <x v="8"/>
          </reference>
          <reference field="5" count="1">
            <x v="8"/>
          </reference>
        </references>
      </pivotArea>
    </format>
    <format dxfId="2">
      <pivotArea dataOnly="0" labelOnly="1" outline="0" fieldPosition="0">
        <references count="3">
          <reference field="3" count="1" selected="0">
            <x v="3"/>
          </reference>
          <reference field="4" count="1" selected="0">
            <x v="9"/>
          </reference>
          <reference field="5" count="1">
            <x v="8"/>
          </reference>
        </references>
      </pivotArea>
    </format>
    <format dxfId="1">
      <pivotArea dataOnly="0" labelOnly="1" outline="0" fieldPosition="0">
        <references count="3">
          <reference field="3" count="1" selected="0">
            <x v="3"/>
          </reference>
          <reference field="4" count="1" selected="0">
            <x v="10"/>
          </reference>
          <reference field="5" count="1">
            <x v="8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abSelected="1" view="pageBreakPreview" zoomScaleNormal="100" zoomScaleSheetLayoutView="100" workbookViewId="0">
      <pane ySplit="1" topLeftCell="A18" activePane="bottomLeft" state="frozen"/>
      <selection pane="bottomLeft" sqref="A1:XFD1048576"/>
    </sheetView>
  </sheetViews>
  <sheetFormatPr defaultRowHeight="14.5" x14ac:dyDescent="0.35"/>
  <cols>
    <col min="1" max="1" width="4.90625" style="9" bestFit="1" customWidth="1"/>
    <col min="2" max="2" width="9.36328125" style="9" bestFit="1" customWidth="1"/>
    <col min="3" max="3" width="16.90625" bestFit="1" customWidth="1"/>
    <col min="4" max="4" width="6.90625" style="9" bestFit="1" customWidth="1"/>
  </cols>
  <sheetData>
    <row r="1" spans="1:4" s="6" customFormat="1" x14ac:dyDescent="0.35">
      <c r="A1" s="5" t="s">
        <v>0</v>
      </c>
      <c r="B1" s="5" t="s">
        <v>4</v>
      </c>
      <c r="C1" s="5" t="s">
        <v>5</v>
      </c>
      <c r="D1" s="5" t="s">
        <v>1</v>
      </c>
    </row>
    <row r="2" spans="1:4" x14ac:dyDescent="0.35">
      <c r="A2" s="8">
        <v>1</v>
      </c>
      <c r="B2" s="8" t="s">
        <v>6</v>
      </c>
      <c r="C2" s="4" t="s">
        <v>7</v>
      </c>
      <c r="D2" s="8" t="s">
        <v>8</v>
      </c>
    </row>
    <row r="3" spans="1:4" ht="16.5" x14ac:dyDescent="0.35">
      <c r="A3" s="8">
        <v>2</v>
      </c>
      <c r="B3" s="8" t="s">
        <v>77</v>
      </c>
      <c r="C3" s="4" t="s">
        <v>9</v>
      </c>
      <c r="D3" s="8" t="s">
        <v>35</v>
      </c>
    </row>
    <row r="4" spans="1:4" ht="16.5" x14ac:dyDescent="0.35">
      <c r="A4" s="8">
        <v>3</v>
      </c>
      <c r="B4" s="8" t="s">
        <v>78</v>
      </c>
      <c r="C4" s="4" t="s">
        <v>11</v>
      </c>
      <c r="D4" s="8" t="s">
        <v>36</v>
      </c>
    </row>
    <row r="5" spans="1:4" x14ac:dyDescent="0.35">
      <c r="A5" s="8">
        <v>4</v>
      </c>
      <c r="B5" s="8" t="s">
        <v>79</v>
      </c>
      <c r="C5" s="4" t="s">
        <v>13</v>
      </c>
      <c r="D5" s="8" t="s">
        <v>14</v>
      </c>
    </row>
    <row r="6" spans="1:4" ht="16.5" x14ac:dyDescent="0.35">
      <c r="A6" s="8">
        <v>5</v>
      </c>
      <c r="B6" s="8" t="s">
        <v>80</v>
      </c>
      <c r="C6" s="4" t="s">
        <v>15</v>
      </c>
      <c r="D6" s="8" t="s">
        <v>37</v>
      </c>
    </row>
    <row r="7" spans="1:4" ht="16.5" x14ac:dyDescent="0.35">
      <c r="A7" s="8">
        <v>6</v>
      </c>
      <c r="B7" s="8" t="s">
        <v>81</v>
      </c>
      <c r="C7" s="4" t="s">
        <v>16</v>
      </c>
      <c r="D7" s="8" t="s">
        <v>38</v>
      </c>
    </row>
    <row r="8" spans="1:4" x14ac:dyDescent="0.35">
      <c r="A8" s="8">
        <v>7</v>
      </c>
      <c r="B8" s="8" t="s">
        <v>82</v>
      </c>
      <c r="C8" s="4" t="s">
        <v>18</v>
      </c>
      <c r="D8" s="8" t="s">
        <v>177</v>
      </c>
    </row>
    <row r="9" spans="1:4" x14ac:dyDescent="0.35">
      <c r="A9" s="8">
        <v>8</v>
      </c>
      <c r="B9" s="8" t="s">
        <v>83</v>
      </c>
      <c r="C9" s="4" t="s">
        <v>19</v>
      </c>
      <c r="D9" s="8" t="s">
        <v>20</v>
      </c>
    </row>
    <row r="10" spans="1:4" x14ac:dyDescent="0.35">
      <c r="A10" s="8">
        <v>9</v>
      </c>
      <c r="B10" s="8" t="s">
        <v>84</v>
      </c>
      <c r="C10" s="4" t="s">
        <v>21</v>
      </c>
      <c r="D10" s="8" t="s">
        <v>22</v>
      </c>
    </row>
    <row r="11" spans="1:4" x14ac:dyDescent="0.35">
      <c r="A11" s="8">
        <v>10</v>
      </c>
      <c r="B11" s="8" t="s">
        <v>85</v>
      </c>
      <c r="C11" s="4" t="s">
        <v>23</v>
      </c>
      <c r="D11" s="8" t="s">
        <v>24</v>
      </c>
    </row>
    <row r="12" spans="1:4" x14ac:dyDescent="0.35">
      <c r="A12" s="8">
        <v>11</v>
      </c>
      <c r="B12" s="8" t="s">
        <v>86</v>
      </c>
      <c r="C12" s="4" t="s">
        <v>25</v>
      </c>
      <c r="D12" s="8" t="s">
        <v>26</v>
      </c>
    </row>
    <row r="13" spans="1:4" x14ac:dyDescent="0.35">
      <c r="A13" s="8">
        <v>12</v>
      </c>
      <c r="B13" s="8" t="s">
        <v>87</v>
      </c>
      <c r="C13" s="4" t="s">
        <v>27</v>
      </c>
      <c r="D13" s="8" t="s">
        <v>28</v>
      </c>
    </row>
    <row r="14" spans="1:4" ht="16.5" x14ac:dyDescent="0.35">
      <c r="A14" s="8">
        <v>13</v>
      </c>
      <c r="B14" s="8" t="s">
        <v>88</v>
      </c>
      <c r="C14" s="4" t="s">
        <v>29</v>
      </c>
      <c r="D14" s="8" t="s">
        <v>39</v>
      </c>
    </row>
    <row r="15" spans="1:4" ht="16.5" x14ac:dyDescent="0.35">
      <c r="A15" s="8">
        <v>14</v>
      </c>
      <c r="B15" s="8" t="s">
        <v>89</v>
      </c>
      <c r="C15" s="4" t="s">
        <v>30</v>
      </c>
      <c r="D15" s="8" t="s">
        <v>40</v>
      </c>
    </row>
    <row r="16" spans="1:4" x14ac:dyDescent="0.35">
      <c r="A16" s="8">
        <v>15</v>
      </c>
      <c r="B16" s="8" t="s">
        <v>90</v>
      </c>
      <c r="C16" s="4" t="s">
        <v>31</v>
      </c>
      <c r="D16" s="8" t="s">
        <v>34</v>
      </c>
    </row>
    <row r="17" spans="1:4" ht="16.5" x14ac:dyDescent="0.35">
      <c r="A17" s="8">
        <v>16</v>
      </c>
      <c r="B17" s="8" t="s">
        <v>91</v>
      </c>
      <c r="C17" s="4" t="s">
        <v>32</v>
      </c>
      <c r="D17" s="8" t="s">
        <v>41</v>
      </c>
    </row>
    <row r="18" spans="1:4" ht="16.5" x14ac:dyDescent="0.35">
      <c r="A18" s="8">
        <v>17</v>
      </c>
      <c r="B18" s="8" t="s">
        <v>92</v>
      </c>
      <c r="C18" s="4" t="s">
        <v>33</v>
      </c>
      <c r="D18" s="8" t="s">
        <v>42</v>
      </c>
    </row>
    <row r="19" spans="1:4" x14ac:dyDescent="0.35">
      <c r="A19" s="8">
        <v>18</v>
      </c>
      <c r="B19" s="8" t="s">
        <v>93</v>
      </c>
      <c r="C19" s="4" t="s">
        <v>43</v>
      </c>
      <c r="D19" s="8" t="s">
        <v>44</v>
      </c>
    </row>
    <row r="20" spans="1:4" x14ac:dyDescent="0.35">
      <c r="A20" s="8">
        <v>19</v>
      </c>
      <c r="B20" s="8" t="s">
        <v>94</v>
      </c>
      <c r="C20" s="4" t="s">
        <v>45</v>
      </c>
      <c r="D20" s="8" t="s">
        <v>46</v>
      </c>
    </row>
    <row r="21" spans="1:4" x14ac:dyDescent="0.35">
      <c r="A21" s="8">
        <v>20</v>
      </c>
      <c r="B21" s="8" t="s">
        <v>95</v>
      </c>
      <c r="C21" s="4" t="s">
        <v>47</v>
      </c>
      <c r="D21" s="8" t="s">
        <v>56</v>
      </c>
    </row>
    <row r="22" spans="1:4" x14ac:dyDescent="0.35">
      <c r="A22" s="8">
        <v>21</v>
      </c>
      <c r="B22" s="8" t="s">
        <v>96</v>
      </c>
      <c r="C22" s="4" t="s">
        <v>48</v>
      </c>
      <c r="D22" s="8" t="s">
        <v>55</v>
      </c>
    </row>
    <row r="23" spans="1:4" x14ac:dyDescent="0.35">
      <c r="A23" s="8">
        <v>22</v>
      </c>
      <c r="B23" s="8" t="s">
        <v>97</v>
      </c>
      <c r="C23" s="4" t="s">
        <v>49</v>
      </c>
      <c r="D23" s="8" t="s">
        <v>54</v>
      </c>
    </row>
    <row r="24" spans="1:4" x14ac:dyDescent="0.35">
      <c r="A24" s="8">
        <v>23</v>
      </c>
      <c r="B24" s="8" t="s">
        <v>98</v>
      </c>
      <c r="C24" s="4" t="s">
        <v>50</v>
      </c>
      <c r="D24" s="8" t="s">
        <v>51</v>
      </c>
    </row>
    <row r="25" spans="1:4" x14ac:dyDescent="0.35">
      <c r="A25" s="8">
        <v>24</v>
      </c>
      <c r="B25" s="8" t="s">
        <v>99</v>
      </c>
      <c r="C25" s="4" t="s">
        <v>52</v>
      </c>
      <c r="D25" s="8" t="s">
        <v>53</v>
      </c>
    </row>
    <row r="26" spans="1:4" x14ac:dyDescent="0.35">
      <c r="A26" s="8">
        <v>25</v>
      </c>
      <c r="B26" s="8" t="s">
        <v>100</v>
      </c>
      <c r="C26" s="4" t="s">
        <v>57</v>
      </c>
      <c r="D26" s="8" t="s">
        <v>58</v>
      </c>
    </row>
    <row r="27" spans="1:4" x14ac:dyDescent="0.35">
      <c r="A27" s="8">
        <v>26</v>
      </c>
      <c r="B27" s="8" t="s">
        <v>101</v>
      </c>
      <c r="C27" s="4" t="s">
        <v>59</v>
      </c>
      <c r="D27" s="8" t="s">
        <v>60</v>
      </c>
    </row>
    <row r="28" spans="1:4" x14ac:dyDescent="0.35">
      <c r="A28" s="8">
        <v>27</v>
      </c>
      <c r="B28" s="8" t="s">
        <v>102</v>
      </c>
      <c r="C28" s="4" t="s">
        <v>61</v>
      </c>
      <c r="D28" s="8" t="s">
        <v>62</v>
      </c>
    </row>
    <row r="29" spans="1:4" x14ac:dyDescent="0.35">
      <c r="A29" s="8">
        <v>28</v>
      </c>
      <c r="B29" s="8" t="s">
        <v>103</v>
      </c>
      <c r="C29" s="4" t="s">
        <v>63</v>
      </c>
      <c r="D29" s="8" t="s">
        <v>64</v>
      </c>
    </row>
    <row r="30" spans="1:4" x14ac:dyDescent="0.35">
      <c r="A30" s="8">
        <v>29</v>
      </c>
      <c r="B30" s="8" t="s">
        <v>104</v>
      </c>
      <c r="C30" s="4" t="s">
        <v>65</v>
      </c>
      <c r="D30" s="8" t="s">
        <v>66</v>
      </c>
    </row>
    <row r="31" spans="1:4" x14ac:dyDescent="0.35">
      <c r="A31" s="8">
        <v>30</v>
      </c>
      <c r="B31" s="8" t="s">
        <v>105</v>
      </c>
      <c r="C31" s="4" t="s">
        <v>67</v>
      </c>
      <c r="D31" s="8" t="s">
        <v>68</v>
      </c>
    </row>
    <row r="32" spans="1:4" x14ac:dyDescent="0.35">
      <c r="A32" s="8">
        <v>31</v>
      </c>
      <c r="B32" s="8" t="s">
        <v>106</v>
      </c>
      <c r="C32" s="4" t="s">
        <v>69</v>
      </c>
      <c r="D32" s="8" t="s">
        <v>70</v>
      </c>
    </row>
    <row r="33" spans="1:4" x14ac:dyDescent="0.35">
      <c r="A33" s="8">
        <v>32</v>
      </c>
      <c r="B33" s="8" t="s">
        <v>107</v>
      </c>
      <c r="C33" s="4" t="s">
        <v>71</v>
      </c>
      <c r="D33" s="8" t="s">
        <v>72</v>
      </c>
    </row>
    <row r="34" spans="1:4" x14ac:dyDescent="0.35">
      <c r="A34" s="8">
        <v>33</v>
      </c>
      <c r="B34" s="8" t="s">
        <v>108</v>
      </c>
      <c r="C34" s="4" t="s">
        <v>73</v>
      </c>
      <c r="D34" s="8" t="s">
        <v>74</v>
      </c>
    </row>
    <row r="35" spans="1:4" x14ac:dyDescent="0.35">
      <c r="A35" s="8">
        <v>34</v>
      </c>
      <c r="B35" s="8" t="s">
        <v>109</v>
      </c>
      <c r="C35" s="4" t="s">
        <v>75</v>
      </c>
      <c r="D35" s="8" t="s">
        <v>76</v>
      </c>
    </row>
    <row r="36" spans="1:4" x14ac:dyDescent="0.35">
      <c r="A36" s="8">
        <v>35</v>
      </c>
      <c r="B36" s="8" t="s">
        <v>164</v>
      </c>
      <c r="C36" s="4" t="s">
        <v>163</v>
      </c>
      <c r="D36" s="8" t="s">
        <v>162</v>
      </c>
    </row>
    <row r="37" spans="1:4" x14ac:dyDescent="0.35">
      <c r="A37" s="8">
        <v>36</v>
      </c>
      <c r="B37" s="8" t="s">
        <v>165</v>
      </c>
      <c r="C37" s="4" t="s">
        <v>1</v>
      </c>
      <c r="D37" s="8" t="s">
        <v>166</v>
      </c>
    </row>
    <row r="38" spans="1:4" x14ac:dyDescent="0.35">
      <c r="A38" s="8">
        <v>37</v>
      </c>
      <c r="B38" s="8" t="s">
        <v>1011</v>
      </c>
      <c r="C38" s="4" t="s">
        <v>1012</v>
      </c>
      <c r="D38" s="8" t="s">
        <v>1013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view="pageBreakPreview" zoomScaleNormal="100" zoomScaleSheetLayoutView="100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6.36328125" style="9" bestFit="1" customWidth="1"/>
    <col min="2" max="2" width="21.81640625" style="9" bestFit="1" customWidth="1"/>
    <col min="3" max="3" width="27.26953125" bestFit="1" customWidth="1"/>
    <col min="4" max="4" width="19.7265625" customWidth="1"/>
  </cols>
  <sheetData>
    <row r="1" spans="1:3" s="6" customFormat="1" x14ac:dyDescent="0.35">
      <c r="A1" s="5" t="s">
        <v>110</v>
      </c>
      <c r="B1" s="5" t="s">
        <v>139</v>
      </c>
      <c r="C1" s="5" t="s">
        <v>140</v>
      </c>
    </row>
    <row r="2" spans="1:3" x14ac:dyDescent="0.35">
      <c r="A2" s="8">
        <v>1</v>
      </c>
      <c r="B2" s="8" t="s">
        <v>124</v>
      </c>
      <c r="C2" s="4" t="s">
        <v>113</v>
      </c>
    </row>
    <row r="3" spans="1:3" x14ac:dyDescent="0.35">
      <c r="A3" s="8">
        <v>2</v>
      </c>
      <c r="B3" s="8" t="s">
        <v>125</v>
      </c>
      <c r="C3" s="4" t="s">
        <v>114</v>
      </c>
    </row>
    <row r="4" spans="1:3" x14ac:dyDescent="0.35">
      <c r="A4" s="8">
        <v>3</v>
      </c>
      <c r="B4" s="8" t="s">
        <v>126</v>
      </c>
      <c r="C4" s="4" t="s">
        <v>115</v>
      </c>
    </row>
    <row r="5" spans="1:3" x14ac:dyDescent="0.35">
      <c r="A5" s="8">
        <v>4</v>
      </c>
      <c r="B5" s="8" t="s">
        <v>127</v>
      </c>
      <c r="C5" s="4" t="s">
        <v>116</v>
      </c>
    </row>
    <row r="6" spans="1:3" x14ac:dyDescent="0.35">
      <c r="A6" s="8">
        <v>5</v>
      </c>
      <c r="B6" s="8" t="s">
        <v>128</v>
      </c>
      <c r="C6" s="4" t="s">
        <v>117</v>
      </c>
    </row>
    <row r="7" spans="1:3" x14ac:dyDescent="0.35">
      <c r="A7" s="8">
        <v>6</v>
      </c>
      <c r="B7" s="8" t="s">
        <v>129</v>
      </c>
      <c r="C7" s="4" t="s">
        <v>118</v>
      </c>
    </row>
    <row r="8" spans="1:3" x14ac:dyDescent="0.35">
      <c r="A8" s="8">
        <v>7</v>
      </c>
      <c r="B8" s="8" t="s">
        <v>130</v>
      </c>
      <c r="C8" s="4" t="s">
        <v>119</v>
      </c>
    </row>
    <row r="9" spans="1:3" x14ac:dyDescent="0.35">
      <c r="A9" s="8">
        <v>8</v>
      </c>
      <c r="B9" s="8" t="s">
        <v>131</v>
      </c>
      <c r="C9" s="4" t="s">
        <v>120</v>
      </c>
    </row>
    <row r="10" spans="1:3" x14ac:dyDescent="0.35">
      <c r="A10" s="8">
        <v>9</v>
      </c>
      <c r="B10" s="8" t="s">
        <v>132</v>
      </c>
      <c r="C10" s="4" t="s">
        <v>71</v>
      </c>
    </row>
    <row r="11" spans="1:3" x14ac:dyDescent="0.35">
      <c r="A11" s="8">
        <v>10</v>
      </c>
      <c r="B11" s="8" t="s">
        <v>133</v>
      </c>
      <c r="C11" s="4" t="s">
        <v>121</v>
      </c>
    </row>
    <row r="12" spans="1:3" x14ac:dyDescent="0.35">
      <c r="A12" s="8">
        <v>11</v>
      </c>
      <c r="B12" s="8" t="s">
        <v>134</v>
      </c>
      <c r="C12" s="4" t="s">
        <v>122</v>
      </c>
    </row>
    <row r="13" spans="1:3" x14ac:dyDescent="0.35">
      <c r="A13" s="8">
        <v>12</v>
      </c>
      <c r="B13" s="8" t="s">
        <v>135</v>
      </c>
      <c r="C13" s="4" t="s">
        <v>123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AD25-1801-41B7-B139-31FE4E74687C}">
  <dimension ref="A1:K535"/>
  <sheetViews>
    <sheetView view="pageBreakPreview" zoomScaleNormal="55" zoomScaleSheetLayoutView="100" workbookViewId="0">
      <pane ySplit="1" topLeftCell="A499" activePane="bottomLeft" state="frozen"/>
      <selection pane="bottomLeft" sqref="A1:XFD1048576"/>
    </sheetView>
  </sheetViews>
  <sheetFormatPr defaultRowHeight="14.5" x14ac:dyDescent="0.35"/>
  <cols>
    <col min="1" max="1" width="6.36328125" style="9" bestFit="1" customWidth="1"/>
    <col min="2" max="2" width="14.26953125" style="9" bestFit="1" customWidth="1"/>
    <col min="3" max="3" width="16.90625" style="9" bestFit="1" customWidth="1"/>
    <col min="4" max="4" width="14.54296875" style="9" bestFit="1" customWidth="1"/>
    <col min="5" max="5" width="17" style="9" bestFit="1" customWidth="1"/>
    <col min="6" max="6" width="38.1796875" bestFit="1" customWidth="1"/>
    <col min="7" max="7" width="12.90625" style="9" bestFit="1" customWidth="1"/>
    <col min="8" max="8" width="20.453125" style="9" bestFit="1" customWidth="1"/>
    <col min="9" max="9" width="10.6328125" style="9" bestFit="1" customWidth="1"/>
    <col min="10" max="10" width="16.453125" style="9" bestFit="1" customWidth="1"/>
    <col min="11" max="11" width="10.7265625" style="9" bestFit="1" customWidth="1"/>
  </cols>
  <sheetData>
    <row r="1" spans="1:11" s="6" customFormat="1" x14ac:dyDescent="0.35">
      <c r="A1" s="5" t="s">
        <v>110</v>
      </c>
      <c r="B1" s="5" t="s">
        <v>112</v>
      </c>
      <c r="C1" s="5" t="s">
        <v>137</v>
      </c>
      <c r="D1" s="5" t="s">
        <v>138</v>
      </c>
      <c r="E1" s="5" t="s">
        <v>141</v>
      </c>
      <c r="F1" s="5" t="s">
        <v>111</v>
      </c>
      <c r="G1" s="5" t="s">
        <v>142</v>
      </c>
      <c r="H1" s="5" t="s">
        <v>143</v>
      </c>
      <c r="I1" s="5" t="s">
        <v>976</v>
      </c>
      <c r="J1" s="5" t="s">
        <v>1460</v>
      </c>
      <c r="K1" s="5" t="s">
        <v>1461</v>
      </c>
    </row>
    <row r="2" spans="1:11" x14ac:dyDescent="0.35">
      <c r="A2" s="8">
        <v>1</v>
      </c>
      <c r="B2" s="8" t="s">
        <v>184</v>
      </c>
      <c r="C2" s="8" t="s">
        <v>113</v>
      </c>
      <c r="D2" s="8" t="s">
        <v>144</v>
      </c>
      <c r="E2" s="8" t="s">
        <v>145</v>
      </c>
      <c r="F2" s="4" t="s">
        <v>146</v>
      </c>
      <c r="G2" s="8" t="s">
        <v>162</v>
      </c>
      <c r="H2" s="8" t="s">
        <v>167</v>
      </c>
      <c r="I2" s="8"/>
      <c r="J2" s="47">
        <v>0.1</v>
      </c>
      <c r="K2" s="8">
        <v>100</v>
      </c>
    </row>
    <row r="3" spans="1:11" x14ac:dyDescent="0.35">
      <c r="A3" s="8">
        <v>2</v>
      </c>
      <c r="B3" s="8" t="s">
        <v>185</v>
      </c>
      <c r="C3" s="8" t="s">
        <v>113</v>
      </c>
      <c r="D3" s="8" t="s">
        <v>144</v>
      </c>
      <c r="E3" s="8" t="s">
        <v>145</v>
      </c>
      <c r="F3" s="4" t="s">
        <v>147</v>
      </c>
      <c r="G3" s="8" t="s">
        <v>162</v>
      </c>
      <c r="H3" s="8" t="s">
        <v>167</v>
      </c>
      <c r="I3" s="8"/>
      <c r="J3" s="47">
        <v>0.1</v>
      </c>
      <c r="K3" s="8">
        <v>100</v>
      </c>
    </row>
    <row r="4" spans="1:11" x14ac:dyDescent="0.35">
      <c r="A4" s="8">
        <v>3</v>
      </c>
      <c r="B4" s="8" t="s">
        <v>186</v>
      </c>
      <c r="C4" s="8" t="s">
        <v>113</v>
      </c>
      <c r="D4" s="8" t="s">
        <v>144</v>
      </c>
      <c r="E4" s="8" t="s">
        <v>145</v>
      </c>
      <c r="F4" s="4" t="s">
        <v>148</v>
      </c>
      <c r="G4" s="8" t="s">
        <v>162</v>
      </c>
      <c r="H4" s="8" t="s">
        <v>167</v>
      </c>
      <c r="I4" s="8"/>
      <c r="J4" s="47">
        <v>0.1</v>
      </c>
      <c r="K4" s="8">
        <v>100</v>
      </c>
    </row>
    <row r="5" spans="1:11" x14ac:dyDescent="0.35">
      <c r="A5" s="8">
        <v>4</v>
      </c>
      <c r="B5" s="8" t="s">
        <v>187</v>
      </c>
      <c r="C5" s="8" t="s">
        <v>113</v>
      </c>
      <c r="D5" s="8" t="s">
        <v>144</v>
      </c>
      <c r="E5" s="8" t="s">
        <v>145</v>
      </c>
      <c r="F5" s="4" t="s">
        <v>149</v>
      </c>
      <c r="G5" s="8" t="s">
        <v>162</v>
      </c>
      <c r="H5" s="8" t="s">
        <v>167</v>
      </c>
      <c r="I5" s="8"/>
      <c r="J5" s="47">
        <v>0.1</v>
      </c>
      <c r="K5" s="8">
        <v>100</v>
      </c>
    </row>
    <row r="6" spans="1:11" x14ac:dyDescent="0.35">
      <c r="A6" s="8">
        <v>5</v>
      </c>
      <c r="B6" s="8" t="s">
        <v>188</v>
      </c>
      <c r="C6" s="8" t="s">
        <v>113</v>
      </c>
      <c r="D6" s="8" t="s">
        <v>144</v>
      </c>
      <c r="E6" s="8" t="s">
        <v>145</v>
      </c>
      <c r="F6" s="4" t="s">
        <v>150</v>
      </c>
      <c r="G6" s="8" t="s">
        <v>162</v>
      </c>
      <c r="H6" s="8" t="s">
        <v>167</v>
      </c>
      <c r="I6" s="8"/>
      <c r="J6" s="47">
        <v>0.1</v>
      </c>
      <c r="K6" s="8">
        <v>100</v>
      </c>
    </row>
    <row r="7" spans="1:11" x14ac:dyDescent="0.35">
      <c r="A7" s="8">
        <v>6</v>
      </c>
      <c r="B7" s="8" t="s">
        <v>189</v>
      </c>
      <c r="C7" s="8" t="s">
        <v>113</v>
      </c>
      <c r="D7" s="8" t="s">
        <v>144</v>
      </c>
      <c r="E7" s="8" t="s">
        <v>145</v>
      </c>
      <c r="F7" s="4" t="s">
        <v>151</v>
      </c>
      <c r="G7" s="8" t="s">
        <v>162</v>
      </c>
      <c r="H7" s="8" t="s">
        <v>167</v>
      </c>
      <c r="I7" s="8"/>
      <c r="J7" s="47">
        <v>0.1</v>
      </c>
      <c r="K7" s="8">
        <v>100</v>
      </c>
    </row>
    <row r="8" spans="1:11" x14ac:dyDescent="0.35">
      <c r="A8" s="8">
        <v>7</v>
      </c>
      <c r="B8" s="8" t="s">
        <v>190</v>
      </c>
      <c r="C8" s="8" t="s">
        <v>113</v>
      </c>
      <c r="D8" s="8" t="s">
        <v>144</v>
      </c>
      <c r="E8" s="8" t="s">
        <v>152</v>
      </c>
      <c r="F8" s="4" t="s">
        <v>153</v>
      </c>
      <c r="G8" s="8" t="s">
        <v>166</v>
      </c>
      <c r="H8" s="8" t="s">
        <v>168</v>
      </c>
      <c r="I8" s="8"/>
      <c r="J8" s="47">
        <v>0.1</v>
      </c>
      <c r="K8" s="8">
        <v>100</v>
      </c>
    </row>
    <row r="9" spans="1:11" x14ac:dyDescent="0.35">
      <c r="A9" s="8">
        <v>8</v>
      </c>
      <c r="B9" s="8" t="s">
        <v>191</v>
      </c>
      <c r="C9" s="8" t="s">
        <v>113</v>
      </c>
      <c r="D9" s="8" t="s">
        <v>144</v>
      </c>
      <c r="E9" s="8" t="s">
        <v>152</v>
      </c>
      <c r="F9" s="4" t="s">
        <v>154</v>
      </c>
      <c r="G9" s="8" t="s">
        <v>166</v>
      </c>
      <c r="H9" s="8" t="s">
        <v>168</v>
      </c>
      <c r="I9" s="8"/>
      <c r="J9" s="47">
        <v>0.1</v>
      </c>
      <c r="K9" s="8">
        <v>100</v>
      </c>
    </row>
    <row r="10" spans="1:11" x14ac:dyDescent="0.35">
      <c r="A10" s="8">
        <v>9</v>
      </c>
      <c r="B10" s="8" t="s">
        <v>192</v>
      </c>
      <c r="C10" s="8" t="s">
        <v>113</v>
      </c>
      <c r="D10" s="8" t="s">
        <v>144</v>
      </c>
      <c r="E10" s="8" t="s">
        <v>152</v>
      </c>
      <c r="F10" s="4" t="s">
        <v>155</v>
      </c>
      <c r="G10" s="8" t="s">
        <v>166</v>
      </c>
      <c r="H10" s="8" t="s">
        <v>168</v>
      </c>
      <c r="I10" s="8"/>
      <c r="J10" s="47">
        <v>0.1</v>
      </c>
      <c r="K10" s="8">
        <v>100</v>
      </c>
    </row>
    <row r="11" spans="1:11" x14ac:dyDescent="0.35">
      <c r="A11" s="8">
        <v>10</v>
      </c>
      <c r="B11" s="8" t="s">
        <v>193</v>
      </c>
      <c r="C11" s="8" t="s">
        <v>113</v>
      </c>
      <c r="D11" s="8" t="s">
        <v>144</v>
      </c>
      <c r="E11" s="8" t="s">
        <v>152</v>
      </c>
      <c r="F11" s="4" t="s">
        <v>156</v>
      </c>
      <c r="G11" s="8" t="s">
        <v>166</v>
      </c>
      <c r="H11" s="8" t="s">
        <v>168</v>
      </c>
      <c r="I11" s="8"/>
      <c r="J11" s="47">
        <v>0.1</v>
      </c>
      <c r="K11" s="8">
        <v>100</v>
      </c>
    </row>
    <row r="12" spans="1:11" x14ac:dyDescent="0.35">
      <c r="A12" s="8">
        <v>11</v>
      </c>
      <c r="B12" s="8" t="s">
        <v>194</v>
      </c>
      <c r="C12" s="8" t="s">
        <v>113</v>
      </c>
      <c r="D12" s="8" t="s">
        <v>144</v>
      </c>
      <c r="E12" s="8" t="s">
        <v>152</v>
      </c>
      <c r="F12" s="4" t="s">
        <v>157</v>
      </c>
      <c r="G12" s="8" t="s">
        <v>166</v>
      </c>
      <c r="H12" s="8" t="s">
        <v>168</v>
      </c>
      <c r="I12" s="8"/>
      <c r="J12" s="47">
        <v>0.1</v>
      </c>
      <c r="K12" s="8">
        <v>100</v>
      </c>
    </row>
    <row r="13" spans="1:11" x14ac:dyDescent="0.35">
      <c r="A13" s="8">
        <v>12</v>
      </c>
      <c r="B13" s="8" t="s">
        <v>195</v>
      </c>
      <c r="C13" s="8" t="s">
        <v>113</v>
      </c>
      <c r="D13" s="8" t="s">
        <v>144</v>
      </c>
      <c r="E13" s="8" t="s">
        <v>152</v>
      </c>
      <c r="F13" s="4" t="s">
        <v>158</v>
      </c>
      <c r="G13" s="8" t="s">
        <v>166</v>
      </c>
      <c r="H13" s="8" t="s">
        <v>168</v>
      </c>
      <c r="I13" s="8"/>
      <c r="J13" s="47">
        <v>0.1</v>
      </c>
      <c r="K13" s="8">
        <v>100</v>
      </c>
    </row>
    <row r="14" spans="1:11" x14ac:dyDescent="0.35">
      <c r="A14" s="8">
        <v>13</v>
      </c>
      <c r="B14" s="8" t="s">
        <v>196</v>
      </c>
      <c r="C14" s="8" t="s">
        <v>113</v>
      </c>
      <c r="D14" s="8" t="s">
        <v>144</v>
      </c>
      <c r="E14" s="8" t="s">
        <v>152</v>
      </c>
      <c r="F14" s="4" t="s">
        <v>159</v>
      </c>
      <c r="G14" s="8" t="s">
        <v>166</v>
      </c>
      <c r="H14" s="8" t="s">
        <v>168</v>
      </c>
      <c r="I14" s="8"/>
      <c r="J14" s="47">
        <v>0.1</v>
      </c>
      <c r="K14" s="8">
        <v>100</v>
      </c>
    </row>
    <row r="15" spans="1:11" x14ac:dyDescent="0.35">
      <c r="A15" s="8">
        <v>14</v>
      </c>
      <c r="B15" s="8" t="s">
        <v>197</v>
      </c>
      <c r="C15" s="8" t="s">
        <v>113</v>
      </c>
      <c r="D15" s="8" t="s">
        <v>144</v>
      </c>
      <c r="E15" s="8" t="s">
        <v>152</v>
      </c>
      <c r="F15" s="4" t="s">
        <v>160</v>
      </c>
      <c r="G15" s="8" t="s">
        <v>166</v>
      </c>
      <c r="H15" s="8" t="s">
        <v>168</v>
      </c>
      <c r="I15" s="8"/>
      <c r="J15" s="47">
        <v>0.1</v>
      </c>
      <c r="K15" s="8">
        <v>100</v>
      </c>
    </row>
    <row r="16" spans="1:11" x14ac:dyDescent="0.35">
      <c r="A16" s="8">
        <v>15</v>
      </c>
      <c r="B16" s="8" t="s">
        <v>198</v>
      </c>
      <c r="C16" s="8" t="s">
        <v>113</v>
      </c>
      <c r="D16" s="8" t="s">
        <v>144</v>
      </c>
      <c r="E16" s="8" t="s">
        <v>152</v>
      </c>
      <c r="F16" s="4" t="s">
        <v>161</v>
      </c>
      <c r="G16" s="8" t="s">
        <v>166</v>
      </c>
      <c r="H16" s="8" t="s">
        <v>168</v>
      </c>
      <c r="I16" s="8"/>
      <c r="J16" s="47">
        <v>0.1</v>
      </c>
      <c r="K16" s="8">
        <v>100</v>
      </c>
    </row>
    <row r="17" spans="1:11" x14ac:dyDescent="0.35">
      <c r="A17" s="8">
        <v>16</v>
      </c>
      <c r="B17" s="8" t="s">
        <v>199</v>
      </c>
      <c r="C17" s="8" t="s">
        <v>113</v>
      </c>
      <c r="D17" s="8" t="s">
        <v>144</v>
      </c>
      <c r="E17" s="8" t="s">
        <v>152</v>
      </c>
      <c r="F17" s="4" t="s">
        <v>161</v>
      </c>
      <c r="G17" s="8" t="s">
        <v>166</v>
      </c>
      <c r="H17" s="8" t="s">
        <v>168</v>
      </c>
      <c r="I17" s="8"/>
      <c r="J17" s="47">
        <v>0.1</v>
      </c>
      <c r="K17" s="8">
        <v>100</v>
      </c>
    </row>
    <row r="18" spans="1:11" x14ac:dyDescent="0.35">
      <c r="A18" s="8">
        <v>17</v>
      </c>
      <c r="B18" s="8" t="s">
        <v>213</v>
      </c>
      <c r="C18" s="8" t="s">
        <v>113</v>
      </c>
      <c r="D18" s="8" t="s">
        <v>144</v>
      </c>
      <c r="E18" s="8" t="s">
        <v>169</v>
      </c>
      <c r="F18" s="4" t="s">
        <v>170</v>
      </c>
      <c r="G18" s="8" t="s">
        <v>26</v>
      </c>
      <c r="H18" s="8"/>
      <c r="I18" s="8"/>
      <c r="J18" s="47">
        <v>0.1</v>
      </c>
      <c r="K18" s="8">
        <v>100</v>
      </c>
    </row>
    <row r="19" spans="1:11" x14ac:dyDescent="0.35">
      <c r="A19" s="8">
        <v>18</v>
      </c>
      <c r="B19" s="8" t="s">
        <v>215</v>
      </c>
      <c r="C19" s="8" t="s">
        <v>113</v>
      </c>
      <c r="D19" s="8" t="s">
        <v>144</v>
      </c>
      <c r="E19" s="8" t="s">
        <v>169</v>
      </c>
      <c r="F19" s="4" t="s">
        <v>171</v>
      </c>
      <c r="G19" s="8" t="s">
        <v>26</v>
      </c>
      <c r="H19" s="8"/>
      <c r="I19" s="8"/>
      <c r="J19" s="47">
        <v>0.1</v>
      </c>
      <c r="K19" s="8">
        <v>100</v>
      </c>
    </row>
    <row r="20" spans="1:11" x14ac:dyDescent="0.35">
      <c r="A20" s="8">
        <v>19</v>
      </c>
      <c r="B20" s="8" t="s">
        <v>214</v>
      </c>
      <c r="C20" s="8" t="s">
        <v>113</v>
      </c>
      <c r="D20" s="8" t="s">
        <v>144</v>
      </c>
      <c r="E20" s="8" t="s">
        <v>169</v>
      </c>
      <c r="F20" s="4" t="s">
        <v>172</v>
      </c>
      <c r="G20" s="8" t="s">
        <v>26</v>
      </c>
      <c r="H20" s="8"/>
      <c r="I20" s="8"/>
      <c r="J20" s="47">
        <v>0.1</v>
      </c>
      <c r="K20" s="8">
        <v>100</v>
      </c>
    </row>
    <row r="21" spans="1:11" x14ac:dyDescent="0.35">
      <c r="A21" s="8">
        <v>20</v>
      </c>
      <c r="B21" s="8" t="s">
        <v>216</v>
      </c>
      <c r="C21" s="8" t="s">
        <v>113</v>
      </c>
      <c r="D21" s="8" t="s">
        <v>144</v>
      </c>
      <c r="E21" s="8" t="s">
        <v>173</v>
      </c>
      <c r="F21" s="4" t="s">
        <v>174</v>
      </c>
      <c r="G21" s="8" t="s">
        <v>177</v>
      </c>
      <c r="H21" s="8"/>
      <c r="I21" s="8"/>
      <c r="J21" s="47">
        <v>0.1</v>
      </c>
      <c r="K21" s="8">
        <v>100</v>
      </c>
    </row>
    <row r="22" spans="1:11" x14ac:dyDescent="0.35">
      <c r="A22" s="8">
        <v>21</v>
      </c>
      <c r="B22" s="8" t="s">
        <v>218</v>
      </c>
      <c r="C22" s="8" t="s">
        <v>113</v>
      </c>
      <c r="D22" s="8" t="s">
        <v>144</v>
      </c>
      <c r="E22" s="8" t="s">
        <v>173</v>
      </c>
      <c r="F22" s="4" t="s">
        <v>175</v>
      </c>
      <c r="G22" s="8" t="s">
        <v>177</v>
      </c>
      <c r="H22" s="8"/>
      <c r="I22" s="8"/>
      <c r="J22" s="47">
        <v>0.1</v>
      </c>
      <c r="K22" s="8">
        <v>100</v>
      </c>
    </row>
    <row r="23" spans="1:11" x14ac:dyDescent="0.35">
      <c r="A23" s="8">
        <v>22</v>
      </c>
      <c r="B23" s="8" t="s">
        <v>219</v>
      </c>
      <c r="C23" s="8" t="s">
        <v>113</v>
      </c>
      <c r="D23" s="8" t="s">
        <v>144</v>
      </c>
      <c r="E23" s="8" t="s">
        <v>173</v>
      </c>
      <c r="F23" s="4" t="s">
        <v>176</v>
      </c>
      <c r="G23" s="8" t="s">
        <v>177</v>
      </c>
      <c r="H23" s="8"/>
      <c r="I23" s="8"/>
      <c r="J23" s="47">
        <v>0.1</v>
      </c>
      <c r="K23" s="8">
        <v>100</v>
      </c>
    </row>
    <row r="24" spans="1:11" x14ac:dyDescent="0.35">
      <c r="A24" s="8">
        <v>23</v>
      </c>
      <c r="B24" s="8" t="s">
        <v>220</v>
      </c>
      <c r="C24" s="8" t="s">
        <v>113</v>
      </c>
      <c r="D24" s="8" t="s">
        <v>144</v>
      </c>
      <c r="E24" s="8" t="s">
        <v>173</v>
      </c>
      <c r="F24" s="4" t="s">
        <v>178</v>
      </c>
      <c r="G24" s="8" t="s">
        <v>177</v>
      </c>
      <c r="H24" s="8"/>
      <c r="I24" s="8"/>
      <c r="J24" s="47">
        <v>0.1</v>
      </c>
      <c r="K24" s="8">
        <v>100</v>
      </c>
    </row>
    <row r="25" spans="1:11" x14ac:dyDescent="0.35">
      <c r="A25" s="8">
        <v>24</v>
      </c>
      <c r="B25" s="8" t="s">
        <v>221</v>
      </c>
      <c r="C25" s="8" t="s">
        <v>113</v>
      </c>
      <c r="D25" s="8" t="s">
        <v>144</v>
      </c>
      <c r="E25" s="8" t="s">
        <v>173</v>
      </c>
      <c r="F25" s="4" t="s">
        <v>179</v>
      </c>
      <c r="G25" s="8" t="s">
        <v>177</v>
      </c>
      <c r="H25" s="8"/>
      <c r="I25" s="8"/>
      <c r="J25" s="47">
        <v>0.1</v>
      </c>
      <c r="K25" s="8">
        <v>100</v>
      </c>
    </row>
    <row r="26" spans="1:11" x14ac:dyDescent="0.35">
      <c r="A26" s="8">
        <v>25</v>
      </c>
      <c r="B26" s="8" t="s">
        <v>222</v>
      </c>
      <c r="C26" s="8" t="s">
        <v>113</v>
      </c>
      <c r="D26" s="8" t="s">
        <v>144</v>
      </c>
      <c r="E26" s="8" t="s">
        <v>173</v>
      </c>
      <c r="F26" s="4" t="s">
        <v>180</v>
      </c>
      <c r="G26" s="8" t="s">
        <v>177</v>
      </c>
      <c r="H26" s="8"/>
      <c r="I26" s="8"/>
      <c r="J26" s="47">
        <v>0.1</v>
      </c>
      <c r="K26" s="8">
        <v>100</v>
      </c>
    </row>
    <row r="27" spans="1:11" x14ac:dyDescent="0.35">
      <c r="A27" s="8">
        <v>26</v>
      </c>
      <c r="B27" s="8" t="s">
        <v>223</v>
      </c>
      <c r="C27" s="8" t="s">
        <v>113</v>
      </c>
      <c r="D27" s="8" t="s">
        <v>144</v>
      </c>
      <c r="E27" s="8" t="s">
        <v>173</v>
      </c>
      <c r="F27" s="4" t="s">
        <v>181</v>
      </c>
      <c r="G27" s="8" t="s">
        <v>177</v>
      </c>
      <c r="H27" s="8"/>
      <c r="I27" s="8"/>
      <c r="J27" s="47">
        <v>0.1</v>
      </c>
      <c r="K27" s="8">
        <v>100</v>
      </c>
    </row>
    <row r="28" spans="1:11" x14ac:dyDescent="0.35">
      <c r="A28" s="8">
        <v>27</v>
      </c>
      <c r="B28" s="8" t="s">
        <v>224</v>
      </c>
      <c r="C28" s="8" t="s">
        <v>113</v>
      </c>
      <c r="D28" s="8" t="s">
        <v>144</v>
      </c>
      <c r="E28" s="8" t="s">
        <v>173</v>
      </c>
      <c r="F28" s="4" t="s">
        <v>182</v>
      </c>
      <c r="G28" s="8" t="s">
        <v>177</v>
      </c>
      <c r="H28" s="8"/>
      <c r="I28" s="8"/>
      <c r="J28" s="47">
        <v>0.1</v>
      </c>
      <c r="K28" s="8">
        <v>100</v>
      </c>
    </row>
    <row r="29" spans="1:11" x14ac:dyDescent="0.35">
      <c r="A29" s="8">
        <v>28</v>
      </c>
      <c r="B29" s="8" t="s">
        <v>225</v>
      </c>
      <c r="C29" s="8" t="s">
        <v>113</v>
      </c>
      <c r="D29" s="8" t="s">
        <v>144</v>
      </c>
      <c r="E29" s="8" t="s">
        <v>173</v>
      </c>
      <c r="F29" s="4" t="s">
        <v>183</v>
      </c>
      <c r="G29" s="8" t="s">
        <v>177</v>
      </c>
      <c r="H29" s="8"/>
      <c r="I29" s="8"/>
      <c r="J29" s="47">
        <v>0.1</v>
      </c>
      <c r="K29" s="8">
        <v>100</v>
      </c>
    </row>
    <row r="30" spans="1:11" x14ac:dyDescent="0.35">
      <c r="A30" s="8">
        <v>29</v>
      </c>
      <c r="B30" s="8" t="s">
        <v>217</v>
      </c>
      <c r="C30" s="8" t="s">
        <v>113</v>
      </c>
      <c r="D30" s="8" t="s">
        <v>144</v>
      </c>
      <c r="E30" s="8" t="s">
        <v>211</v>
      </c>
      <c r="F30" s="4" t="s">
        <v>201</v>
      </c>
      <c r="G30" s="8" t="s">
        <v>209</v>
      </c>
      <c r="H30" s="8" t="s">
        <v>210</v>
      </c>
      <c r="I30" s="8"/>
      <c r="J30" s="47">
        <v>0.1</v>
      </c>
      <c r="K30" s="8">
        <v>100</v>
      </c>
    </row>
    <row r="31" spans="1:11" x14ac:dyDescent="0.35">
      <c r="A31" s="8">
        <v>30</v>
      </c>
      <c r="B31" s="8" t="s">
        <v>226</v>
      </c>
      <c r="C31" s="8" t="s">
        <v>113</v>
      </c>
      <c r="D31" s="8" t="s">
        <v>144</v>
      </c>
      <c r="E31" s="8" t="s">
        <v>211</v>
      </c>
      <c r="F31" s="4" t="s">
        <v>200</v>
      </c>
      <c r="G31" s="8" t="s">
        <v>209</v>
      </c>
      <c r="H31" s="8" t="s">
        <v>210</v>
      </c>
      <c r="I31" s="8"/>
      <c r="J31" s="47">
        <v>0.1</v>
      </c>
      <c r="K31" s="8">
        <v>100</v>
      </c>
    </row>
    <row r="32" spans="1:11" x14ac:dyDescent="0.35">
      <c r="A32" s="8">
        <v>31</v>
      </c>
      <c r="B32" s="8" t="s">
        <v>227</v>
      </c>
      <c r="C32" s="8" t="s">
        <v>113</v>
      </c>
      <c r="D32" s="8" t="s">
        <v>144</v>
      </c>
      <c r="E32" s="8" t="s">
        <v>211</v>
      </c>
      <c r="F32" s="4" t="s">
        <v>202</v>
      </c>
      <c r="G32" s="8" t="s">
        <v>209</v>
      </c>
      <c r="H32" s="8" t="s">
        <v>210</v>
      </c>
      <c r="I32" s="8"/>
      <c r="J32" s="47">
        <v>0.1</v>
      </c>
      <c r="K32" s="8">
        <v>100</v>
      </c>
    </row>
    <row r="33" spans="1:11" x14ac:dyDescent="0.35">
      <c r="A33" s="8">
        <v>32</v>
      </c>
      <c r="B33" s="8" t="s">
        <v>228</v>
      </c>
      <c r="C33" s="8" t="s">
        <v>113</v>
      </c>
      <c r="D33" s="8" t="s">
        <v>144</v>
      </c>
      <c r="E33" s="8" t="s">
        <v>211</v>
      </c>
      <c r="F33" s="4" t="s">
        <v>203</v>
      </c>
      <c r="G33" s="8" t="s">
        <v>209</v>
      </c>
      <c r="H33" s="8" t="s">
        <v>210</v>
      </c>
      <c r="I33" s="8"/>
      <c r="J33" s="47">
        <v>0.1</v>
      </c>
      <c r="K33" s="8">
        <v>100</v>
      </c>
    </row>
    <row r="34" spans="1:11" x14ac:dyDescent="0.35">
      <c r="A34" s="8">
        <v>33</v>
      </c>
      <c r="B34" s="8" t="s">
        <v>229</v>
      </c>
      <c r="C34" s="8" t="s">
        <v>113</v>
      </c>
      <c r="D34" s="8" t="s">
        <v>144</v>
      </c>
      <c r="E34" s="8" t="s">
        <v>211</v>
      </c>
      <c r="F34" s="4" t="s">
        <v>204</v>
      </c>
      <c r="G34" s="8" t="s">
        <v>209</v>
      </c>
      <c r="H34" s="8" t="s">
        <v>210</v>
      </c>
      <c r="I34" s="8"/>
      <c r="J34" s="47">
        <v>0.1</v>
      </c>
      <c r="K34" s="8">
        <v>100</v>
      </c>
    </row>
    <row r="35" spans="1:11" x14ac:dyDescent="0.35">
      <c r="A35" s="8">
        <v>34</v>
      </c>
      <c r="B35" s="8" t="s">
        <v>230</v>
      </c>
      <c r="C35" s="8" t="s">
        <v>113</v>
      </c>
      <c r="D35" s="8" t="s">
        <v>144</v>
      </c>
      <c r="E35" s="8" t="s">
        <v>211</v>
      </c>
      <c r="F35" s="4" t="s">
        <v>205</v>
      </c>
      <c r="G35" s="8" t="s">
        <v>209</v>
      </c>
      <c r="H35" s="8" t="s">
        <v>210</v>
      </c>
      <c r="I35" s="8"/>
      <c r="J35" s="47">
        <v>0.1</v>
      </c>
      <c r="K35" s="8">
        <v>100</v>
      </c>
    </row>
    <row r="36" spans="1:11" x14ac:dyDescent="0.35">
      <c r="A36" s="8">
        <v>35</v>
      </c>
      <c r="B36" s="8" t="s">
        <v>231</v>
      </c>
      <c r="C36" s="8" t="s">
        <v>113</v>
      </c>
      <c r="D36" s="8" t="s">
        <v>144</v>
      </c>
      <c r="E36" s="8" t="s">
        <v>211</v>
      </c>
      <c r="F36" s="4" t="s">
        <v>206</v>
      </c>
      <c r="G36" s="8" t="s">
        <v>209</v>
      </c>
      <c r="H36" s="8" t="s">
        <v>210</v>
      </c>
      <c r="I36" s="8"/>
      <c r="J36" s="47">
        <v>0.1</v>
      </c>
      <c r="K36" s="8">
        <v>100</v>
      </c>
    </row>
    <row r="37" spans="1:11" x14ac:dyDescent="0.35">
      <c r="A37" s="8">
        <v>36</v>
      </c>
      <c r="B37" s="8" t="s">
        <v>232</v>
      </c>
      <c r="C37" s="8" t="s">
        <v>113</v>
      </c>
      <c r="D37" s="8" t="s">
        <v>144</v>
      </c>
      <c r="E37" s="8" t="s">
        <v>211</v>
      </c>
      <c r="F37" s="4" t="s">
        <v>207</v>
      </c>
      <c r="G37" s="8" t="s">
        <v>209</v>
      </c>
      <c r="H37" s="8" t="s">
        <v>210</v>
      </c>
      <c r="I37" s="8"/>
      <c r="J37" s="47">
        <v>0.1</v>
      </c>
      <c r="K37" s="8">
        <v>100</v>
      </c>
    </row>
    <row r="38" spans="1:11" x14ac:dyDescent="0.35">
      <c r="A38" s="8">
        <v>37</v>
      </c>
      <c r="B38" s="8" t="s">
        <v>233</v>
      </c>
      <c r="C38" s="8" t="s">
        <v>113</v>
      </c>
      <c r="D38" s="8" t="s">
        <v>144</v>
      </c>
      <c r="E38" s="8" t="s">
        <v>211</v>
      </c>
      <c r="F38" s="4" t="s">
        <v>208</v>
      </c>
      <c r="G38" s="8" t="s">
        <v>209</v>
      </c>
      <c r="H38" s="8" t="s">
        <v>210</v>
      </c>
      <c r="I38" s="8"/>
      <c r="J38" s="47">
        <v>0.1</v>
      </c>
      <c r="K38" s="8">
        <v>100</v>
      </c>
    </row>
    <row r="39" spans="1:11" x14ac:dyDescent="0.35">
      <c r="A39" s="8">
        <v>38</v>
      </c>
      <c r="B39" s="8" t="s">
        <v>234</v>
      </c>
      <c r="C39" s="8" t="s">
        <v>113</v>
      </c>
      <c r="D39" s="8" t="s">
        <v>144</v>
      </c>
      <c r="E39" s="8" t="s">
        <v>211</v>
      </c>
      <c r="F39" s="4" t="s">
        <v>212</v>
      </c>
      <c r="G39" s="8" t="s">
        <v>46</v>
      </c>
      <c r="H39" s="8"/>
      <c r="I39" s="8"/>
      <c r="J39" s="47">
        <v>0.1</v>
      </c>
      <c r="K39" s="8">
        <v>100</v>
      </c>
    </row>
    <row r="40" spans="1:11" x14ac:dyDescent="0.35">
      <c r="A40" s="8">
        <v>39</v>
      </c>
      <c r="B40" s="8" t="s">
        <v>236</v>
      </c>
      <c r="C40" s="8" t="s">
        <v>113</v>
      </c>
      <c r="D40" s="8" t="s">
        <v>235</v>
      </c>
      <c r="E40" s="8" t="s">
        <v>136</v>
      </c>
      <c r="F40" s="4" t="s">
        <v>237</v>
      </c>
      <c r="G40" s="8" t="s">
        <v>20</v>
      </c>
      <c r="H40" s="8" t="s">
        <v>324</v>
      </c>
      <c r="I40" s="8" t="s">
        <v>977</v>
      </c>
      <c r="J40" s="47">
        <v>0.1</v>
      </c>
      <c r="K40" s="8">
        <v>100</v>
      </c>
    </row>
    <row r="41" spans="1:11" x14ac:dyDescent="0.35">
      <c r="A41" s="8">
        <v>40</v>
      </c>
      <c r="B41" s="8" t="s">
        <v>281</v>
      </c>
      <c r="C41" s="8" t="s">
        <v>113</v>
      </c>
      <c r="D41" s="8" t="s">
        <v>235</v>
      </c>
      <c r="E41" s="8" t="s">
        <v>136</v>
      </c>
      <c r="F41" s="4" t="s">
        <v>238</v>
      </c>
      <c r="G41" s="8" t="s">
        <v>20</v>
      </c>
      <c r="H41" s="8" t="s">
        <v>324</v>
      </c>
      <c r="I41" s="8" t="s">
        <v>977</v>
      </c>
      <c r="J41" s="47">
        <v>0.1</v>
      </c>
      <c r="K41" s="8">
        <v>100</v>
      </c>
    </row>
    <row r="42" spans="1:11" x14ac:dyDescent="0.35">
      <c r="A42" s="8">
        <v>41</v>
      </c>
      <c r="B42" s="8" t="s">
        <v>282</v>
      </c>
      <c r="C42" s="8" t="s">
        <v>113</v>
      </c>
      <c r="D42" s="8" t="s">
        <v>235</v>
      </c>
      <c r="E42" s="8" t="s">
        <v>136</v>
      </c>
      <c r="F42" s="4" t="s">
        <v>239</v>
      </c>
      <c r="G42" s="8" t="s">
        <v>20</v>
      </c>
      <c r="H42" s="8" t="s">
        <v>324</v>
      </c>
      <c r="I42" s="8" t="s">
        <v>977</v>
      </c>
      <c r="J42" s="47">
        <v>0.1</v>
      </c>
      <c r="K42" s="8">
        <v>100</v>
      </c>
    </row>
    <row r="43" spans="1:11" x14ac:dyDescent="0.35">
      <c r="A43" s="8">
        <v>42</v>
      </c>
      <c r="B43" s="8" t="s">
        <v>283</v>
      </c>
      <c r="C43" s="8" t="s">
        <v>113</v>
      </c>
      <c r="D43" s="8" t="s">
        <v>235</v>
      </c>
      <c r="E43" s="8" t="s">
        <v>136</v>
      </c>
      <c r="F43" s="4" t="s">
        <v>240</v>
      </c>
      <c r="G43" s="8" t="s">
        <v>20</v>
      </c>
      <c r="H43" s="8" t="s">
        <v>324</v>
      </c>
      <c r="I43" s="8" t="s">
        <v>977</v>
      </c>
      <c r="J43" s="47">
        <v>0.1</v>
      </c>
      <c r="K43" s="8">
        <v>100</v>
      </c>
    </row>
    <row r="44" spans="1:11" x14ac:dyDescent="0.35">
      <c r="A44" s="8">
        <v>43</v>
      </c>
      <c r="B44" s="8" t="s">
        <v>284</v>
      </c>
      <c r="C44" s="8" t="s">
        <v>113</v>
      </c>
      <c r="D44" s="8" t="s">
        <v>235</v>
      </c>
      <c r="E44" s="8" t="s">
        <v>136</v>
      </c>
      <c r="F44" s="4" t="s">
        <v>241</v>
      </c>
      <c r="G44" s="8" t="s">
        <v>20</v>
      </c>
      <c r="H44" s="8" t="s">
        <v>324</v>
      </c>
      <c r="I44" s="8" t="s">
        <v>977</v>
      </c>
      <c r="J44" s="47">
        <v>0.1</v>
      </c>
      <c r="K44" s="8">
        <v>100</v>
      </c>
    </row>
    <row r="45" spans="1:11" x14ac:dyDescent="0.35">
      <c r="A45" s="8">
        <v>44</v>
      </c>
      <c r="B45" s="8" t="s">
        <v>285</v>
      </c>
      <c r="C45" s="8" t="s">
        <v>113</v>
      </c>
      <c r="D45" s="8" t="s">
        <v>235</v>
      </c>
      <c r="E45" s="8" t="s">
        <v>136</v>
      </c>
      <c r="F45" s="4" t="s">
        <v>242</v>
      </c>
      <c r="G45" s="8" t="s">
        <v>20</v>
      </c>
      <c r="H45" s="8" t="s">
        <v>324</v>
      </c>
      <c r="I45" s="8" t="s">
        <v>977</v>
      </c>
      <c r="J45" s="47">
        <v>0.1</v>
      </c>
      <c r="K45" s="8">
        <v>100</v>
      </c>
    </row>
    <row r="46" spans="1:11" x14ac:dyDescent="0.35">
      <c r="A46" s="8">
        <v>45</v>
      </c>
      <c r="B46" s="8" t="s">
        <v>286</v>
      </c>
      <c r="C46" s="8" t="s">
        <v>113</v>
      </c>
      <c r="D46" s="8" t="s">
        <v>235</v>
      </c>
      <c r="E46" s="8" t="s">
        <v>136</v>
      </c>
      <c r="F46" s="4" t="s">
        <v>243</v>
      </c>
      <c r="G46" s="8" t="s">
        <v>20</v>
      </c>
      <c r="H46" s="8" t="s">
        <v>324</v>
      </c>
      <c r="I46" s="8" t="s">
        <v>977</v>
      </c>
      <c r="J46" s="47">
        <v>0.1</v>
      </c>
      <c r="K46" s="8">
        <v>100</v>
      </c>
    </row>
    <row r="47" spans="1:11" x14ac:dyDescent="0.35">
      <c r="A47" s="8">
        <v>46</v>
      </c>
      <c r="B47" s="8" t="s">
        <v>287</v>
      </c>
      <c r="C47" s="8" t="s">
        <v>113</v>
      </c>
      <c r="D47" s="8" t="s">
        <v>235</v>
      </c>
      <c r="E47" s="8" t="s">
        <v>136</v>
      </c>
      <c r="F47" s="4" t="s">
        <v>244</v>
      </c>
      <c r="G47" s="8" t="s">
        <v>20</v>
      </c>
      <c r="H47" s="8" t="s">
        <v>324</v>
      </c>
      <c r="I47" s="8" t="s">
        <v>977</v>
      </c>
      <c r="J47" s="47">
        <v>0.1</v>
      </c>
      <c r="K47" s="8">
        <v>100</v>
      </c>
    </row>
    <row r="48" spans="1:11" x14ac:dyDescent="0.35">
      <c r="A48" s="8">
        <v>47</v>
      </c>
      <c r="B48" s="8" t="s">
        <v>288</v>
      </c>
      <c r="C48" s="8" t="s">
        <v>113</v>
      </c>
      <c r="D48" s="8" t="s">
        <v>235</v>
      </c>
      <c r="E48" s="8" t="s">
        <v>136</v>
      </c>
      <c r="F48" s="4" t="s">
        <v>245</v>
      </c>
      <c r="G48" s="8" t="s">
        <v>20</v>
      </c>
      <c r="H48" s="8" t="s">
        <v>324</v>
      </c>
      <c r="I48" s="8" t="s">
        <v>977</v>
      </c>
      <c r="J48" s="47">
        <v>0.1</v>
      </c>
      <c r="K48" s="8">
        <v>100</v>
      </c>
    </row>
    <row r="49" spans="1:11" x14ac:dyDescent="0.35">
      <c r="A49" s="8">
        <v>48</v>
      </c>
      <c r="B49" s="8" t="s">
        <v>289</v>
      </c>
      <c r="C49" s="8" t="s">
        <v>113</v>
      </c>
      <c r="D49" s="8" t="s">
        <v>235</v>
      </c>
      <c r="E49" s="8" t="s">
        <v>136</v>
      </c>
      <c r="F49" s="4" t="s">
        <v>246</v>
      </c>
      <c r="G49" s="8" t="s">
        <v>20</v>
      </c>
      <c r="H49" s="8" t="s">
        <v>324</v>
      </c>
      <c r="I49" s="8" t="s">
        <v>977</v>
      </c>
      <c r="J49" s="47">
        <v>0.1</v>
      </c>
      <c r="K49" s="8">
        <v>100</v>
      </c>
    </row>
    <row r="50" spans="1:11" x14ac:dyDescent="0.35">
      <c r="A50" s="8">
        <v>49</v>
      </c>
      <c r="B50" s="8" t="s">
        <v>290</v>
      </c>
      <c r="C50" s="8" t="s">
        <v>113</v>
      </c>
      <c r="D50" s="8" t="s">
        <v>235</v>
      </c>
      <c r="E50" s="8" t="s">
        <v>136</v>
      </c>
      <c r="F50" s="4" t="s">
        <v>247</v>
      </c>
      <c r="G50" s="8" t="s">
        <v>20</v>
      </c>
      <c r="H50" s="8" t="s">
        <v>324</v>
      </c>
      <c r="I50" s="8" t="s">
        <v>977</v>
      </c>
      <c r="J50" s="47">
        <v>0.1</v>
      </c>
      <c r="K50" s="8">
        <v>100</v>
      </c>
    </row>
    <row r="51" spans="1:11" x14ac:dyDescent="0.35">
      <c r="A51" s="8">
        <v>50</v>
      </c>
      <c r="B51" s="8" t="s">
        <v>291</v>
      </c>
      <c r="C51" s="8" t="s">
        <v>113</v>
      </c>
      <c r="D51" s="8" t="s">
        <v>235</v>
      </c>
      <c r="E51" s="8" t="s">
        <v>136</v>
      </c>
      <c r="F51" s="4" t="s">
        <v>248</v>
      </c>
      <c r="G51" s="8" t="s">
        <v>20</v>
      </c>
      <c r="H51" s="8" t="s">
        <v>324</v>
      </c>
      <c r="I51" s="8" t="s">
        <v>977</v>
      </c>
      <c r="J51" s="47">
        <v>0.1</v>
      </c>
      <c r="K51" s="8">
        <v>100</v>
      </c>
    </row>
    <row r="52" spans="1:11" x14ac:dyDescent="0.35">
      <c r="A52" s="8">
        <v>51</v>
      </c>
      <c r="B52" s="8" t="s">
        <v>292</v>
      </c>
      <c r="C52" s="8" t="s">
        <v>113</v>
      </c>
      <c r="D52" s="8" t="s">
        <v>235</v>
      </c>
      <c r="E52" s="8" t="s">
        <v>136</v>
      </c>
      <c r="F52" s="4" t="s">
        <v>249</v>
      </c>
      <c r="G52" s="8" t="s">
        <v>20</v>
      </c>
      <c r="H52" s="8" t="s">
        <v>324</v>
      </c>
      <c r="I52" s="8" t="s">
        <v>977</v>
      </c>
      <c r="J52" s="47">
        <v>0.1</v>
      </c>
      <c r="K52" s="8">
        <v>100</v>
      </c>
    </row>
    <row r="53" spans="1:11" x14ac:dyDescent="0.35">
      <c r="A53" s="8">
        <v>52</v>
      </c>
      <c r="B53" s="8" t="s">
        <v>293</v>
      </c>
      <c r="C53" s="8" t="s">
        <v>113</v>
      </c>
      <c r="D53" s="8" t="s">
        <v>235</v>
      </c>
      <c r="E53" s="8" t="s">
        <v>136</v>
      </c>
      <c r="F53" s="4" t="s">
        <v>250</v>
      </c>
      <c r="G53" s="8" t="s">
        <v>20</v>
      </c>
      <c r="H53" s="8" t="s">
        <v>324</v>
      </c>
      <c r="I53" s="8" t="s">
        <v>977</v>
      </c>
      <c r="J53" s="47">
        <v>0.1</v>
      </c>
      <c r="K53" s="8">
        <v>100</v>
      </c>
    </row>
    <row r="54" spans="1:11" x14ac:dyDescent="0.35">
      <c r="A54" s="8">
        <v>53</v>
      </c>
      <c r="B54" s="8" t="s">
        <v>294</v>
      </c>
      <c r="C54" s="8" t="s">
        <v>113</v>
      </c>
      <c r="D54" s="8" t="s">
        <v>235</v>
      </c>
      <c r="E54" s="8" t="s">
        <v>136</v>
      </c>
      <c r="F54" s="4" t="s">
        <v>251</v>
      </c>
      <c r="G54" s="8" t="s">
        <v>20</v>
      </c>
      <c r="H54" s="8" t="s">
        <v>324</v>
      </c>
      <c r="I54" s="8" t="s">
        <v>977</v>
      </c>
      <c r="J54" s="47">
        <v>0.1</v>
      </c>
      <c r="K54" s="8">
        <v>100</v>
      </c>
    </row>
    <row r="55" spans="1:11" x14ac:dyDescent="0.35">
      <c r="A55" s="8">
        <v>54</v>
      </c>
      <c r="B55" s="8" t="s">
        <v>295</v>
      </c>
      <c r="C55" s="8" t="s">
        <v>113</v>
      </c>
      <c r="D55" s="8" t="s">
        <v>235</v>
      </c>
      <c r="E55" s="8" t="s">
        <v>136</v>
      </c>
      <c r="F55" s="4" t="s">
        <v>252</v>
      </c>
      <c r="G55" s="8" t="s">
        <v>20</v>
      </c>
      <c r="H55" s="8" t="s">
        <v>324</v>
      </c>
      <c r="I55" s="8" t="s">
        <v>977</v>
      </c>
      <c r="J55" s="47">
        <v>0.1</v>
      </c>
      <c r="K55" s="8">
        <v>100</v>
      </c>
    </row>
    <row r="56" spans="1:11" x14ac:dyDescent="0.35">
      <c r="A56" s="8">
        <v>55</v>
      </c>
      <c r="B56" s="8" t="s">
        <v>296</v>
      </c>
      <c r="C56" s="8" t="s">
        <v>113</v>
      </c>
      <c r="D56" s="8" t="s">
        <v>235</v>
      </c>
      <c r="E56" s="8" t="s">
        <v>136</v>
      </c>
      <c r="F56" s="4" t="s">
        <v>253</v>
      </c>
      <c r="G56" s="8" t="s">
        <v>20</v>
      </c>
      <c r="H56" s="8" t="s">
        <v>324</v>
      </c>
      <c r="I56" s="8" t="s">
        <v>977</v>
      </c>
      <c r="J56" s="47">
        <v>0.1</v>
      </c>
      <c r="K56" s="8">
        <v>100</v>
      </c>
    </row>
    <row r="57" spans="1:11" x14ac:dyDescent="0.35">
      <c r="A57" s="8">
        <v>56</v>
      </c>
      <c r="B57" s="8" t="s">
        <v>297</v>
      </c>
      <c r="C57" s="8" t="s">
        <v>113</v>
      </c>
      <c r="D57" s="8" t="s">
        <v>235</v>
      </c>
      <c r="E57" s="8" t="s">
        <v>136</v>
      </c>
      <c r="F57" s="4" t="s">
        <v>254</v>
      </c>
      <c r="G57" s="8" t="s">
        <v>20</v>
      </c>
      <c r="H57" s="8" t="s">
        <v>324</v>
      </c>
      <c r="I57" s="8" t="s">
        <v>977</v>
      </c>
      <c r="J57" s="47">
        <v>0.1</v>
      </c>
      <c r="K57" s="8">
        <v>100</v>
      </c>
    </row>
    <row r="58" spans="1:11" x14ac:dyDescent="0.35">
      <c r="A58" s="8">
        <v>57</v>
      </c>
      <c r="B58" s="8" t="s">
        <v>298</v>
      </c>
      <c r="C58" s="8" t="s">
        <v>113</v>
      </c>
      <c r="D58" s="8" t="s">
        <v>235</v>
      </c>
      <c r="E58" s="8" t="s">
        <v>136</v>
      </c>
      <c r="F58" s="4" t="s">
        <v>255</v>
      </c>
      <c r="G58" s="8" t="s">
        <v>20</v>
      </c>
      <c r="H58" s="8" t="s">
        <v>324</v>
      </c>
      <c r="I58" s="8" t="s">
        <v>977</v>
      </c>
      <c r="J58" s="47">
        <v>0.1</v>
      </c>
      <c r="K58" s="8">
        <v>100</v>
      </c>
    </row>
    <row r="59" spans="1:11" x14ac:dyDescent="0.35">
      <c r="A59" s="8">
        <v>58</v>
      </c>
      <c r="B59" s="8" t="s">
        <v>299</v>
      </c>
      <c r="C59" s="8" t="s">
        <v>113</v>
      </c>
      <c r="D59" s="8" t="s">
        <v>235</v>
      </c>
      <c r="E59" s="8" t="s">
        <v>136</v>
      </c>
      <c r="F59" s="4" t="s">
        <v>256</v>
      </c>
      <c r="G59" s="8" t="s">
        <v>20</v>
      </c>
      <c r="H59" s="8" t="s">
        <v>324</v>
      </c>
      <c r="I59" s="8" t="s">
        <v>977</v>
      </c>
      <c r="J59" s="47">
        <v>0.1</v>
      </c>
      <c r="K59" s="8">
        <v>100</v>
      </c>
    </row>
    <row r="60" spans="1:11" x14ac:dyDescent="0.35">
      <c r="A60" s="8">
        <v>59</v>
      </c>
      <c r="B60" s="8" t="s">
        <v>300</v>
      </c>
      <c r="C60" s="8" t="s">
        <v>113</v>
      </c>
      <c r="D60" s="8" t="s">
        <v>235</v>
      </c>
      <c r="E60" s="8" t="s">
        <v>136</v>
      </c>
      <c r="F60" s="4" t="s">
        <v>257</v>
      </c>
      <c r="G60" s="8" t="s">
        <v>20</v>
      </c>
      <c r="H60" s="8" t="s">
        <v>324</v>
      </c>
      <c r="I60" s="8" t="s">
        <v>977</v>
      </c>
      <c r="J60" s="47">
        <v>0.1</v>
      </c>
      <c r="K60" s="8">
        <v>100</v>
      </c>
    </row>
    <row r="61" spans="1:11" x14ac:dyDescent="0.35">
      <c r="A61" s="8">
        <v>60</v>
      </c>
      <c r="B61" s="8" t="s">
        <v>301</v>
      </c>
      <c r="C61" s="8" t="s">
        <v>113</v>
      </c>
      <c r="D61" s="8" t="s">
        <v>235</v>
      </c>
      <c r="E61" s="8" t="s">
        <v>136</v>
      </c>
      <c r="F61" s="4" t="s">
        <v>258</v>
      </c>
      <c r="G61" s="8" t="s">
        <v>20</v>
      </c>
      <c r="H61" s="8" t="s">
        <v>324</v>
      </c>
      <c r="I61" s="8" t="s">
        <v>977</v>
      </c>
      <c r="J61" s="47">
        <v>0.1</v>
      </c>
      <c r="K61" s="8">
        <v>100</v>
      </c>
    </row>
    <row r="62" spans="1:11" x14ac:dyDescent="0.35">
      <c r="A62" s="8">
        <v>61</v>
      </c>
      <c r="B62" s="8" t="s">
        <v>302</v>
      </c>
      <c r="C62" s="8" t="s">
        <v>113</v>
      </c>
      <c r="D62" s="8" t="s">
        <v>235</v>
      </c>
      <c r="E62" s="8" t="s">
        <v>136</v>
      </c>
      <c r="F62" s="4" t="s">
        <v>259</v>
      </c>
      <c r="G62" s="8" t="s">
        <v>20</v>
      </c>
      <c r="H62" s="8" t="s">
        <v>324</v>
      </c>
      <c r="I62" s="8" t="s">
        <v>978</v>
      </c>
      <c r="J62" s="47">
        <v>0.1</v>
      </c>
      <c r="K62" s="8">
        <v>100</v>
      </c>
    </row>
    <row r="63" spans="1:11" x14ac:dyDescent="0.35">
      <c r="A63" s="8">
        <v>62</v>
      </c>
      <c r="B63" s="8" t="s">
        <v>303</v>
      </c>
      <c r="C63" s="8" t="s">
        <v>113</v>
      </c>
      <c r="D63" s="8" t="s">
        <v>235</v>
      </c>
      <c r="E63" s="8" t="s">
        <v>136</v>
      </c>
      <c r="F63" s="4" t="s">
        <v>260</v>
      </c>
      <c r="G63" s="8" t="s">
        <v>20</v>
      </c>
      <c r="H63" s="8" t="s">
        <v>324</v>
      </c>
      <c r="I63" s="8" t="s">
        <v>978</v>
      </c>
      <c r="J63" s="47">
        <v>0.1</v>
      </c>
      <c r="K63" s="8">
        <v>100</v>
      </c>
    </row>
    <row r="64" spans="1:11" x14ac:dyDescent="0.35">
      <c r="A64" s="8">
        <v>63</v>
      </c>
      <c r="B64" s="8" t="s">
        <v>304</v>
      </c>
      <c r="C64" s="8" t="s">
        <v>113</v>
      </c>
      <c r="D64" s="8" t="s">
        <v>235</v>
      </c>
      <c r="E64" s="8" t="s">
        <v>136</v>
      </c>
      <c r="F64" s="4" t="s">
        <v>261</v>
      </c>
      <c r="G64" s="8" t="s">
        <v>20</v>
      </c>
      <c r="H64" s="8" t="s">
        <v>324</v>
      </c>
      <c r="I64" s="8" t="s">
        <v>978</v>
      </c>
      <c r="J64" s="47">
        <v>0.1</v>
      </c>
      <c r="K64" s="8">
        <v>100</v>
      </c>
    </row>
    <row r="65" spans="1:11" x14ac:dyDescent="0.35">
      <c r="A65" s="8">
        <v>64</v>
      </c>
      <c r="B65" s="8" t="s">
        <v>305</v>
      </c>
      <c r="C65" s="8" t="s">
        <v>113</v>
      </c>
      <c r="D65" s="8" t="s">
        <v>235</v>
      </c>
      <c r="E65" s="8" t="s">
        <v>136</v>
      </c>
      <c r="F65" s="4" t="s">
        <v>262</v>
      </c>
      <c r="G65" s="8" t="s">
        <v>20</v>
      </c>
      <c r="H65" s="8" t="s">
        <v>324</v>
      </c>
      <c r="I65" s="8" t="s">
        <v>978</v>
      </c>
      <c r="J65" s="47">
        <v>0.1</v>
      </c>
      <c r="K65" s="8">
        <v>100</v>
      </c>
    </row>
    <row r="66" spans="1:11" x14ac:dyDescent="0.35">
      <c r="A66" s="8">
        <v>65</v>
      </c>
      <c r="B66" s="8" t="s">
        <v>306</v>
      </c>
      <c r="C66" s="8" t="s">
        <v>113</v>
      </c>
      <c r="D66" s="8" t="s">
        <v>235</v>
      </c>
      <c r="E66" s="8" t="s">
        <v>136</v>
      </c>
      <c r="F66" s="4" t="s">
        <v>263</v>
      </c>
      <c r="G66" s="8" t="s">
        <v>20</v>
      </c>
      <c r="H66" s="8" t="s">
        <v>324</v>
      </c>
      <c r="I66" s="8" t="s">
        <v>978</v>
      </c>
      <c r="J66" s="47">
        <v>0.1</v>
      </c>
      <c r="K66" s="8">
        <v>100</v>
      </c>
    </row>
    <row r="67" spans="1:11" x14ac:dyDescent="0.35">
      <c r="A67" s="8">
        <v>66</v>
      </c>
      <c r="B67" s="8" t="s">
        <v>307</v>
      </c>
      <c r="C67" s="8" t="s">
        <v>113</v>
      </c>
      <c r="D67" s="8" t="s">
        <v>235</v>
      </c>
      <c r="E67" s="8" t="s">
        <v>136</v>
      </c>
      <c r="F67" s="4" t="s">
        <v>264</v>
      </c>
      <c r="G67" s="8" t="s">
        <v>20</v>
      </c>
      <c r="H67" s="8" t="s">
        <v>324</v>
      </c>
      <c r="I67" s="8" t="s">
        <v>978</v>
      </c>
      <c r="J67" s="47">
        <v>0.1</v>
      </c>
      <c r="K67" s="8">
        <v>100</v>
      </c>
    </row>
    <row r="68" spans="1:11" x14ac:dyDescent="0.35">
      <c r="A68" s="8">
        <v>67</v>
      </c>
      <c r="B68" s="8" t="s">
        <v>308</v>
      </c>
      <c r="C68" s="8" t="s">
        <v>113</v>
      </c>
      <c r="D68" s="8" t="s">
        <v>235</v>
      </c>
      <c r="E68" s="8" t="s">
        <v>136</v>
      </c>
      <c r="F68" s="4" t="s">
        <v>265</v>
      </c>
      <c r="G68" s="8" t="s">
        <v>20</v>
      </c>
      <c r="H68" s="8" t="s">
        <v>324</v>
      </c>
      <c r="I68" s="8" t="s">
        <v>978</v>
      </c>
      <c r="J68" s="47">
        <v>0.1</v>
      </c>
      <c r="K68" s="8">
        <v>100</v>
      </c>
    </row>
    <row r="69" spans="1:11" x14ac:dyDescent="0.35">
      <c r="A69" s="8">
        <v>68</v>
      </c>
      <c r="B69" s="8" t="s">
        <v>309</v>
      </c>
      <c r="C69" s="8" t="s">
        <v>113</v>
      </c>
      <c r="D69" s="8" t="s">
        <v>235</v>
      </c>
      <c r="E69" s="8" t="s">
        <v>136</v>
      </c>
      <c r="F69" s="4" t="s">
        <v>266</v>
      </c>
      <c r="G69" s="8" t="s">
        <v>20</v>
      </c>
      <c r="H69" s="8" t="s">
        <v>324</v>
      </c>
      <c r="I69" s="8" t="s">
        <v>978</v>
      </c>
      <c r="J69" s="47">
        <v>0.1</v>
      </c>
      <c r="K69" s="8">
        <v>100</v>
      </c>
    </row>
    <row r="70" spans="1:11" x14ac:dyDescent="0.35">
      <c r="A70" s="8">
        <v>69</v>
      </c>
      <c r="B70" s="8" t="s">
        <v>310</v>
      </c>
      <c r="C70" s="8" t="s">
        <v>113</v>
      </c>
      <c r="D70" s="8" t="s">
        <v>235</v>
      </c>
      <c r="E70" s="8" t="s">
        <v>136</v>
      </c>
      <c r="F70" s="4" t="s">
        <v>267</v>
      </c>
      <c r="G70" s="8" t="s">
        <v>20</v>
      </c>
      <c r="H70" s="8" t="s">
        <v>324</v>
      </c>
      <c r="I70" s="8" t="s">
        <v>978</v>
      </c>
      <c r="J70" s="47">
        <v>0.1</v>
      </c>
      <c r="K70" s="8">
        <v>100</v>
      </c>
    </row>
    <row r="71" spans="1:11" x14ac:dyDescent="0.35">
      <c r="A71" s="8">
        <v>70</v>
      </c>
      <c r="B71" s="8" t="s">
        <v>311</v>
      </c>
      <c r="C71" s="8" t="s">
        <v>113</v>
      </c>
      <c r="D71" s="8" t="s">
        <v>235</v>
      </c>
      <c r="E71" s="8" t="s">
        <v>136</v>
      </c>
      <c r="F71" s="4" t="s">
        <v>268</v>
      </c>
      <c r="G71" s="8" t="s">
        <v>20</v>
      </c>
      <c r="H71" s="8" t="s">
        <v>324</v>
      </c>
      <c r="I71" s="8" t="s">
        <v>978</v>
      </c>
      <c r="J71" s="47">
        <v>0.1</v>
      </c>
      <c r="K71" s="8">
        <v>100</v>
      </c>
    </row>
    <row r="72" spans="1:11" x14ac:dyDescent="0.35">
      <c r="A72" s="8">
        <v>71</v>
      </c>
      <c r="B72" s="8" t="s">
        <v>312</v>
      </c>
      <c r="C72" s="8" t="s">
        <v>113</v>
      </c>
      <c r="D72" s="8" t="s">
        <v>235</v>
      </c>
      <c r="E72" s="8" t="s">
        <v>136</v>
      </c>
      <c r="F72" s="4" t="s">
        <v>269</v>
      </c>
      <c r="G72" s="8" t="s">
        <v>20</v>
      </c>
      <c r="H72" s="8" t="s">
        <v>324</v>
      </c>
      <c r="I72" s="8" t="s">
        <v>978</v>
      </c>
      <c r="J72" s="47">
        <v>0.1</v>
      </c>
      <c r="K72" s="8">
        <v>100</v>
      </c>
    </row>
    <row r="73" spans="1:11" x14ac:dyDescent="0.35">
      <c r="A73" s="8">
        <v>72</v>
      </c>
      <c r="B73" s="8" t="s">
        <v>313</v>
      </c>
      <c r="C73" s="8" t="s">
        <v>113</v>
      </c>
      <c r="D73" s="8" t="s">
        <v>235</v>
      </c>
      <c r="E73" s="8" t="s">
        <v>136</v>
      </c>
      <c r="F73" s="4" t="s">
        <v>270</v>
      </c>
      <c r="G73" s="8" t="s">
        <v>20</v>
      </c>
      <c r="H73" s="8" t="s">
        <v>324</v>
      </c>
      <c r="I73" s="8" t="s">
        <v>978</v>
      </c>
      <c r="J73" s="47">
        <v>0.1</v>
      </c>
      <c r="K73" s="8">
        <v>100</v>
      </c>
    </row>
    <row r="74" spans="1:11" x14ac:dyDescent="0.35">
      <c r="A74" s="8">
        <v>73</v>
      </c>
      <c r="B74" s="8" t="s">
        <v>314</v>
      </c>
      <c r="C74" s="8" t="s">
        <v>113</v>
      </c>
      <c r="D74" s="8" t="s">
        <v>235</v>
      </c>
      <c r="E74" s="8" t="s">
        <v>136</v>
      </c>
      <c r="F74" s="4" t="s">
        <v>271</v>
      </c>
      <c r="G74" s="8" t="s">
        <v>20</v>
      </c>
      <c r="H74" s="8" t="s">
        <v>324</v>
      </c>
      <c r="I74" s="8" t="s">
        <v>978</v>
      </c>
      <c r="J74" s="47">
        <v>0.1</v>
      </c>
      <c r="K74" s="8">
        <v>100</v>
      </c>
    </row>
    <row r="75" spans="1:11" x14ac:dyDescent="0.35">
      <c r="A75" s="8">
        <v>74</v>
      </c>
      <c r="B75" s="8" t="s">
        <v>315</v>
      </c>
      <c r="C75" s="8" t="s">
        <v>113</v>
      </c>
      <c r="D75" s="8" t="s">
        <v>235</v>
      </c>
      <c r="E75" s="8" t="s">
        <v>136</v>
      </c>
      <c r="F75" s="4" t="s">
        <v>272</v>
      </c>
      <c r="G75" s="8" t="s">
        <v>20</v>
      </c>
      <c r="H75" s="8" t="s">
        <v>324</v>
      </c>
      <c r="I75" s="8" t="s">
        <v>978</v>
      </c>
      <c r="J75" s="47">
        <v>0.1</v>
      </c>
      <c r="K75" s="8">
        <v>100</v>
      </c>
    </row>
    <row r="76" spans="1:11" x14ac:dyDescent="0.35">
      <c r="A76" s="8">
        <v>75</v>
      </c>
      <c r="B76" s="8" t="s">
        <v>316</v>
      </c>
      <c r="C76" s="8" t="s">
        <v>113</v>
      </c>
      <c r="D76" s="8" t="s">
        <v>235</v>
      </c>
      <c r="E76" s="8" t="s">
        <v>136</v>
      </c>
      <c r="F76" s="4" t="s">
        <v>273</v>
      </c>
      <c r="G76" s="8" t="s">
        <v>20</v>
      </c>
      <c r="H76" s="8" t="s">
        <v>324</v>
      </c>
      <c r="I76" s="8" t="s">
        <v>978</v>
      </c>
      <c r="J76" s="47">
        <v>0.1</v>
      </c>
      <c r="K76" s="8">
        <v>100</v>
      </c>
    </row>
    <row r="77" spans="1:11" x14ac:dyDescent="0.35">
      <c r="A77" s="8">
        <v>76</v>
      </c>
      <c r="B77" s="8" t="s">
        <v>317</v>
      </c>
      <c r="C77" s="8" t="s">
        <v>113</v>
      </c>
      <c r="D77" s="8" t="s">
        <v>235</v>
      </c>
      <c r="E77" s="8" t="s">
        <v>136</v>
      </c>
      <c r="F77" s="4" t="s">
        <v>274</v>
      </c>
      <c r="G77" s="8" t="s">
        <v>20</v>
      </c>
      <c r="H77" s="8" t="s">
        <v>324</v>
      </c>
      <c r="I77" s="8" t="s">
        <v>978</v>
      </c>
      <c r="J77" s="47">
        <v>0.1</v>
      </c>
      <c r="K77" s="8">
        <v>100</v>
      </c>
    </row>
    <row r="78" spans="1:11" x14ac:dyDescent="0.35">
      <c r="A78" s="8">
        <v>77</v>
      </c>
      <c r="B78" s="8" t="s">
        <v>318</v>
      </c>
      <c r="C78" s="8" t="s">
        <v>113</v>
      </c>
      <c r="D78" s="8" t="s">
        <v>235</v>
      </c>
      <c r="E78" s="8" t="s">
        <v>136</v>
      </c>
      <c r="F78" s="4" t="s">
        <v>275</v>
      </c>
      <c r="G78" s="8" t="s">
        <v>20</v>
      </c>
      <c r="H78" s="8" t="s">
        <v>324</v>
      </c>
      <c r="I78" s="8" t="s">
        <v>978</v>
      </c>
      <c r="J78" s="47">
        <v>0.1</v>
      </c>
      <c r="K78" s="8">
        <v>100</v>
      </c>
    </row>
    <row r="79" spans="1:11" x14ac:dyDescent="0.35">
      <c r="A79" s="8">
        <v>78</v>
      </c>
      <c r="B79" s="8" t="s">
        <v>319</v>
      </c>
      <c r="C79" s="8" t="s">
        <v>113</v>
      </c>
      <c r="D79" s="8" t="s">
        <v>235</v>
      </c>
      <c r="E79" s="8" t="s">
        <v>136</v>
      </c>
      <c r="F79" s="4" t="s">
        <v>276</v>
      </c>
      <c r="G79" s="8" t="s">
        <v>20</v>
      </c>
      <c r="H79" s="8" t="s">
        <v>324</v>
      </c>
      <c r="I79" s="8" t="s">
        <v>978</v>
      </c>
      <c r="J79" s="47">
        <v>0.1</v>
      </c>
      <c r="K79" s="8">
        <v>100</v>
      </c>
    </row>
    <row r="80" spans="1:11" x14ac:dyDescent="0.35">
      <c r="A80" s="8">
        <v>79</v>
      </c>
      <c r="B80" s="8" t="s">
        <v>320</v>
      </c>
      <c r="C80" s="8" t="s">
        <v>113</v>
      </c>
      <c r="D80" s="8" t="s">
        <v>235</v>
      </c>
      <c r="E80" s="8" t="s">
        <v>136</v>
      </c>
      <c r="F80" s="4" t="s">
        <v>277</v>
      </c>
      <c r="G80" s="8" t="s">
        <v>20</v>
      </c>
      <c r="H80" s="8" t="s">
        <v>324</v>
      </c>
      <c r="I80" s="8" t="s">
        <v>978</v>
      </c>
      <c r="J80" s="47">
        <v>0.1</v>
      </c>
      <c r="K80" s="8">
        <v>100</v>
      </c>
    </row>
    <row r="81" spans="1:11" x14ac:dyDescent="0.35">
      <c r="A81" s="8">
        <v>80</v>
      </c>
      <c r="B81" s="8" t="s">
        <v>321</v>
      </c>
      <c r="C81" s="8" t="s">
        <v>113</v>
      </c>
      <c r="D81" s="8" t="s">
        <v>235</v>
      </c>
      <c r="E81" s="8" t="s">
        <v>136</v>
      </c>
      <c r="F81" s="4" t="s">
        <v>278</v>
      </c>
      <c r="G81" s="8" t="s">
        <v>20</v>
      </c>
      <c r="H81" s="8" t="s">
        <v>324</v>
      </c>
      <c r="I81" s="8" t="s">
        <v>978</v>
      </c>
      <c r="J81" s="47">
        <v>0.1</v>
      </c>
      <c r="K81" s="8">
        <v>100</v>
      </c>
    </row>
    <row r="82" spans="1:11" x14ac:dyDescent="0.35">
      <c r="A82" s="8">
        <v>81</v>
      </c>
      <c r="B82" s="8" t="s">
        <v>322</v>
      </c>
      <c r="C82" s="8" t="s">
        <v>113</v>
      </c>
      <c r="D82" s="8" t="s">
        <v>235</v>
      </c>
      <c r="E82" s="8" t="s">
        <v>136</v>
      </c>
      <c r="F82" s="4" t="s">
        <v>279</v>
      </c>
      <c r="G82" s="8" t="s">
        <v>20</v>
      </c>
      <c r="H82" s="8" t="s">
        <v>324</v>
      </c>
      <c r="I82" s="8" t="s">
        <v>978</v>
      </c>
      <c r="J82" s="47">
        <v>0.1</v>
      </c>
      <c r="K82" s="8">
        <v>100</v>
      </c>
    </row>
    <row r="83" spans="1:11" x14ac:dyDescent="0.35">
      <c r="A83" s="8">
        <v>82</v>
      </c>
      <c r="B83" s="8" t="s">
        <v>323</v>
      </c>
      <c r="C83" s="8" t="s">
        <v>113</v>
      </c>
      <c r="D83" s="8" t="s">
        <v>235</v>
      </c>
      <c r="E83" s="8" t="s">
        <v>136</v>
      </c>
      <c r="F83" s="4" t="s">
        <v>280</v>
      </c>
      <c r="G83" s="8" t="s">
        <v>20</v>
      </c>
      <c r="H83" s="8" t="s">
        <v>324</v>
      </c>
      <c r="I83" s="8" t="s">
        <v>978</v>
      </c>
      <c r="J83" s="47">
        <v>0.1</v>
      </c>
      <c r="K83" s="8">
        <v>100</v>
      </c>
    </row>
    <row r="84" spans="1:11" x14ac:dyDescent="0.35">
      <c r="A84" s="8">
        <v>83</v>
      </c>
      <c r="B84" s="8" t="s">
        <v>479</v>
      </c>
      <c r="C84" s="8" t="s">
        <v>113</v>
      </c>
      <c r="D84" s="8" t="s">
        <v>235</v>
      </c>
      <c r="E84" s="8" t="s">
        <v>136</v>
      </c>
      <c r="F84" s="4" t="s">
        <v>369</v>
      </c>
      <c r="G84" s="8" t="s">
        <v>20</v>
      </c>
      <c r="H84" s="8" t="s">
        <v>324</v>
      </c>
      <c r="I84" s="8"/>
      <c r="J84" s="47">
        <v>0.1</v>
      </c>
      <c r="K84" s="8">
        <v>100</v>
      </c>
    </row>
    <row r="85" spans="1:11" x14ac:dyDescent="0.35">
      <c r="A85" s="8">
        <v>84</v>
      </c>
      <c r="B85" s="8" t="s">
        <v>480</v>
      </c>
      <c r="C85" s="8" t="s">
        <v>113</v>
      </c>
      <c r="D85" s="8" t="s">
        <v>235</v>
      </c>
      <c r="E85" s="8" t="s">
        <v>136</v>
      </c>
      <c r="F85" s="4" t="s">
        <v>370</v>
      </c>
      <c r="G85" s="8" t="s">
        <v>20</v>
      </c>
      <c r="H85" s="8" t="s">
        <v>324</v>
      </c>
      <c r="I85" s="8"/>
      <c r="J85" s="47">
        <v>0.1</v>
      </c>
      <c r="K85" s="8">
        <v>100</v>
      </c>
    </row>
    <row r="86" spans="1:11" x14ac:dyDescent="0.35">
      <c r="A86" s="8">
        <v>85</v>
      </c>
      <c r="B86" s="8" t="s">
        <v>481</v>
      </c>
      <c r="C86" s="8" t="s">
        <v>113</v>
      </c>
      <c r="D86" s="8" t="s">
        <v>235</v>
      </c>
      <c r="E86" s="8" t="s">
        <v>136</v>
      </c>
      <c r="F86" s="4" t="s">
        <v>371</v>
      </c>
      <c r="G86" s="8" t="s">
        <v>20</v>
      </c>
      <c r="H86" s="8" t="s">
        <v>324</v>
      </c>
      <c r="I86" s="8"/>
      <c r="J86" s="47">
        <v>0.1</v>
      </c>
      <c r="K86" s="8">
        <v>100</v>
      </c>
    </row>
    <row r="87" spans="1:11" x14ac:dyDescent="0.35">
      <c r="A87" s="8">
        <v>86</v>
      </c>
      <c r="B87" s="8" t="s">
        <v>482</v>
      </c>
      <c r="C87" s="8" t="s">
        <v>113</v>
      </c>
      <c r="D87" s="8" t="s">
        <v>235</v>
      </c>
      <c r="E87" s="8" t="s">
        <v>136</v>
      </c>
      <c r="F87" s="4" t="s">
        <v>372</v>
      </c>
      <c r="G87" s="8" t="s">
        <v>20</v>
      </c>
      <c r="H87" s="8" t="s">
        <v>324</v>
      </c>
      <c r="I87" s="8"/>
      <c r="J87" s="47">
        <v>0.1</v>
      </c>
      <c r="K87" s="8">
        <v>100</v>
      </c>
    </row>
    <row r="88" spans="1:11" x14ac:dyDescent="0.35">
      <c r="A88" s="8">
        <v>87</v>
      </c>
      <c r="B88" s="8" t="s">
        <v>483</v>
      </c>
      <c r="C88" s="8" t="s">
        <v>113</v>
      </c>
      <c r="D88" s="8" t="s">
        <v>235</v>
      </c>
      <c r="E88" s="8" t="s">
        <v>136</v>
      </c>
      <c r="F88" s="4" t="s">
        <v>373</v>
      </c>
      <c r="G88" s="8" t="s">
        <v>20</v>
      </c>
      <c r="H88" s="8" t="s">
        <v>324</v>
      </c>
      <c r="I88" s="8"/>
      <c r="J88" s="47">
        <v>0.1</v>
      </c>
      <c r="K88" s="8">
        <v>100</v>
      </c>
    </row>
    <row r="89" spans="1:11" x14ac:dyDescent="0.35">
      <c r="A89" s="8">
        <v>88</v>
      </c>
      <c r="B89" s="8" t="s">
        <v>484</v>
      </c>
      <c r="C89" s="8" t="s">
        <v>113</v>
      </c>
      <c r="D89" s="8" t="s">
        <v>235</v>
      </c>
      <c r="E89" s="8" t="s">
        <v>136</v>
      </c>
      <c r="F89" s="4" t="s">
        <v>374</v>
      </c>
      <c r="G89" s="8" t="s">
        <v>20</v>
      </c>
      <c r="H89" s="8" t="s">
        <v>324</v>
      </c>
      <c r="I89" s="8"/>
      <c r="J89" s="47">
        <v>0.1</v>
      </c>
      <c r="K89" s="8">
        <v>100</v>
      </c>
    </row>
    <row r="90" spans="1:11" x14ac:dyDescent="0.35">
      <c r="A90" s="8">
        <v>89</v>
      </c>
      <c r="B90" s="8" t="s">
        <v>485</v>
      </c>
      <c r="C90" s="8" t="s">
        <v>113</v>
      </c>
      <c r="D90" s="8" t="s">
        <v>235</v>
      </c>
      <c r="E90" s="8" t="s">
        <v>136</v>
      </c>
      <c r="F90" s="4" t="s">
        <v>375</v>
      </c>
      <c r="G90" s="8" t="s">
        <v>20</v>
      </c>
      <c r="H90" s="8" t="s">
        <v>324</v>
      </c>
      <c r="I90" s="8"/>
      <c r="J90" s="47">
        <v>0.1</v>
      </c>
      <c r="K90" s="8">
        <v>100</v>
      </c>
    </row>
    <row r="91" spans="1:11" x14ac:dyDescent="0.35">
      <c r="A91" s="8">
        <v>90</v>
      </c>
      <c r="B91" s="8" t="s">
        <v>486</v>
      </c>
      <c r="C91" s="8" t="s">
        <v>113</v>
      </c>
      <c r="D91" s="8" t="s">
        <v>235</v>
      </c>
      <c r="E91" s="8" t="s">
        <v>136</v>
      </c>
      <c r="F91" s="4" t="s">
        <v>376</v>
      </c>
      <c r="G91" s="8" t="s">
        <v>20</v>
      </c>
      <c r="H91" s="8" t="s">
        <v>324</v>
      </c>
      <c r="I91" s="8"/>
      <c r="J91" s="47">
        <v>0.1</v>
      </c>
      <c r="K91" s="8">
        <v>100</v>
      </c>
    </row>
    <row r="92" spans="1:11" x14ac:dyDescent="0.35">
      <c r="A92" s="8">
        <v>91</v>
      </c>
      <c r="B92" s="8" t="s">
        <v>487</v>
      </c>
      <c r="C92" s="8" t="s">
        <v>113</v>
      </c>
      <c r="D92" s="8" t="s">
        <v>235</v>
      </c>
      <c r="E92" s="8" t="s">
        <v>136</v>
      </c>
      <c r="F92" s="4" t="s">
        <v>377</v>
      </c>
      <c r="G92" s="8" t="s">
        <v>20</v>
      </c>
      <c r="H92" s="8" t="s">
        <v>324</v>
      </c>
      <c r="I92" s="8"/>
      <c r="J92" s="47">
        <v>0.1</v>
      </c>
      <c r="K92" s="8">
        <v>100</v>
      </c>
    </row>
    <row r="93" spans="1:11" x14ac:dyDescent="0.35">
      <c r="A93" s="8">
        <v>92</v>
      </c>
      <c r="B93" s="8" t="s">
        <v>488</v>
      </c>
      <c r="C93" s="8" t="s">
        <v>113</v>
      </c>
      <c r="D93" s="8" t="s">
        <v>235</v>
      </c>
      <c r="E93" s="8" t="s">
        <v>136</v>
      </c>
      <c r="F93" s="4" t="s">
        <v>378</v>
      </c>
      <c r="G93" s="8" t="s">
        <v>20</v>
      </c>
      <c r="H93" s="8" t="s">
        <v>324</v>
      </c>
      <c r="I93" s="8"/>
      <c r="J93" s="47">
        <v>0.1</v>
      </c>
      <c r="K93" s="8">
        <v>100</v>
      </c>
    </row>
    <row r="94" spans="1:11" x14ac:dyDescent="0.35">
      <c r="A94" s="8">
        <v>93</v>
      </c>
      <c r="B94" s="8" t="s">
        <v>489</v>
      </c>
      <c r="C94" s="8" t="s">
        <v>113</v>
      </c>
      <c r="D94" s="8" t="s">
        <v>235</v>
      </c>
      <c r="E94" s="8" t="s">
        <v>136</v>
      </c>
      <c r="F94" s="4" t="s">
        <v>379</v>
      </c>
      <c r="G94" s="8" t="s">
        <v>20</v>
      </c>
      <c r="H94" s="8" t="s">
        <v>324</v>
      </c>
      <c r="I94" s="8"/>
      <c r="J94" s="47">
        <v>0.1</v>
      </c>
      <c r="K94" s="8">
        <v>100</v>
      </c>
    </row>
    <row r="95" spans="1:11" x14ac:dyDescent="0.35">
      <c r="A95" s="8">
        <v>94</v>
      </c>
      <c r="B95" s="8" t="s">
        <v>490</v>
      </c>
      <c r="C95" s="8" t="s">
        <v>113</v>
      </c>
      <c r="D95" s="8" t="s">
        <v>235</v>
      </c>
      <c r="E95" s="8" t="s">
        <v>136</v>
      </c>
      <c r="F95" s="4" t="s">
        <v>380</v>
      </c>
      <c r="G95" s="8" t="s">
        <v>20</v>
      </c>
      <c r="H95" s="8" t="s">
        <v>324</v>
      </c>
      <c r="I95" s="8"/>
      <c r="J95" s="47">
        <v>0.1</v>
      </c>
      <c r="K95" s="8">
        <v>100</v>
      </c>
    </row>
    <row r="96" spans="1:11" x14ac:dyDescent="0.35">
      <c r="A96" s="8">
        <v>95</v>
      </c>
      <c r="B96" s="8" t="s">
        <v>491</v>
      </c>
      <c r="C96" s="8" t="s">
        <v>113</v>
      </c>
      <c r="D96" s="8" t="s">
        <v>235</v>
      </c>
      <c r="E96" s="8" t="s">
        <v>136</v>
      </c>
      <c r="F96" s="4" t="s">
        <v>381</v>
      </c>
      <c r="G96" s="8" t="s">
        <v>20</v>
      </c>
      <c r="H96" s="8" t="s">
        <v>324</v>
      </c>
      <c r="I96" s="8"/>
      <c r="J96" s="47">
        <v>0.1</v>
      </c>
      <c r="K96" s="8">
        <v>100</v>
      </c>
    </row>
    <row r="97" spans="1:11" x14ac:dyDescent="0.35">
      <c r="A97" s="8">
        <v>96</v>
      </c>
      <c r="B97" s="8" t="s">
        <v>492</v>
      </c>
      <c r="C97" s="8" t="s">
        <v>113</v>
      </c>
      <c r="D97" s="8" t="s">
        <v>235</v>
      </c>
      <c r="E97" s="8" t="s">
        <v>136</v>
      </c>
      <c r="F97" s="4" t="s">
        <v>382</v>
      </c>
      <c r="G97" s="8" t="s">
        <v>20</v>
      </c>
      <c r="H97" s="8" t="s">
        <v>324</v>
      </c>
      <c r="I97" s="8"/>
      <c r="J97" s="47">
        <v>0.1</v>
      </c>
      <c r="K97" s="8">
        <v>100</v>
      </c>
    </row>
    <row r="98" spans="1:11" x14ac:dyDescent="0.35">
      <c r="A98" s="8">
        <v>97</v>
      </c>
      <c r="B98" s="8" t="s">
        <v>493</v>
      </c>
      <c r="C98" s="8" t="s">
        <v>113</v>
      </c>
      <c r="D98" s="8" t="s">
        <v>235</v>
      </c>
      <c r="E98" s="8" t="s">
        <v>136</v>
      </c>
      <c r="F98" s="4" t="s">
        <v>383</v>
      </c>
      <c r="G98" s="8" t="s">
        <v>20</v>
      </c>
      <c r="H98" s="8" t="s">
        <v>324</v>
      </c>
      <c r="I98" s="8"/>
      <c r="J98" s="47">
        <v>0.1</v>
      </c>
      <c r="K98" s="8">
        <v>100</v>
      </c>
    </row>
    <row r="99" spans="1:11" x14ac:dyDescent="0.35">
      <c r="A99" s="8">
        <v>98</v>
      </c>
      <c r="B99" s="8" t="s">
        <v>494</v>
      </c>
      <c r="C99" s="8" t="s">
        <v>113</v>
      </c>
      <c r="D99" s="8" t="s">
        <v>235</v>
      </c>
      <c r="E99" s="8" t="s">
        <v>136</v>
      </c>
      <c r="F99" s="4" t="s">
        <v>384</v>
      </c>
      <c r="G99" s="8" t="s">
        <v>20</v>
      </c>
      <c r="H99" s="8" t="s">
        <v>324</v>
      </c>
      <c r="I99" s="8"/>
      <c r="J99" s="47">
        <v>0.1</v>
      </c>
      <c r="K99" s="8">
        <v>100</v>
      </c>
    </row>
    <row r="100" spans="1:11" x14ac:dyDescent="0.35">
      <c r="A100" s="8">
        <v>99</v>
      </c>
      <c r="B100" s="8" t="s">
        <v>495</v>
      </c>
      <c r="C100" s="8" t="s">
        <v>113</v>
      </c>
      <c r="D100" s="8" t="s">
        <v>235</v>
      </c>
      <c r="E100" s="8" t="s">
        <v>136</v>
      </c>
      <c r="F100" s="4" t="s">
        <v>385</v>
      </c>
      <c r="G100" s="8" t="s">
        <v>20</v>
      </c>
      <c r="H100" s="8" t="s">
        <v>324</v>
      </c>
      <c r="I100" s="8"/>
      <c r="J100" s="47">
        <v>0.1</v>
      </c>
      <c r="K100" s="8">
        <v>100</v>
      </c>
    </row>
    <row r="101" spans="1:11" x14ac:dyDescent="0.35">
      <c r="A101" s="8">
        <v>100</v>
      </c>
      <c r="B101" s="8" t="s">
        <v>496</v>
      </c>
      <c r="C101" s="8" t="s">
        <v>113</v>
      </c>
      <c r="D101" s="8" t="s">
        <v>235</v>
      </c>
      <c r="E101" s="8" t="s">
        <v>136</v>
      </c>
      <c r="F101" s="4" t="s">
        <v>386</v>
      </c>
      <c r="G101" s="8" t="s">
        <v>20</v>
      </c>
      <c r="H101" s="8" t="s">
        <v>324</v>
      </c>
      <c r="I101" s="8"/>
      <c r="J101" s="47">
        <v>0.1</v>
      </c>
      <c r="K101" s="8">
        <v>100</v>
      </c>
    </row>
    <row r="102" spans="1:11" x14ac:dyDescent="0.35">
      <c r="A102" s="8">
        <v>101</v>
      </c>
      <c r="B102" s="8" t="s">
        <v>497</v>
      </c>
      <c r="C102" s="8" t="s">
        <v>113</v>
      </c>
      <c r="D102" s="8" t="s">
        <v>235</v>
      </c>
      <c r="E102" s="8" t="s">
        <v>136</v>
      </c>
      <c r="F102" s="4" t="s">
        <v>387</v>
      </c>
      <c r="G102" s="8" t="s">
        <v>20</v>
      </c>
      <c r="H102" s="8" t="s">
        <v>324</v>
      </c>
      <c r="I102" s="8"/>
      <c r="J102" s="47">
        <v>0.1</v>
      </c>
      <c r="K102" s="8">
        <v>100</v>
      </c>
    </row>
    <row r="103" spans="1:11" x14ac:dyDescent="0.35">
      <c r="A103" s="8">
        <v>102</v>
      </c>
      <c r="B103" s="8" t="s">
        <v>498</v>
      </c>
      <c r="C103" s="8" t="s">
        <v>113</v>
      </c>
      <c r="D103" s="8" t="s">
        <v>235</v>
      </c>
      <c r="E103" s="8" t="s">
        <v>136</v>
      </c>
      <c r="F103" s="4" t="s">
        <v>388</v>
      </c>
      <c r="G103" s="8" t="s">
        <v>20</v>
      </c>
      <c r="H103" s="8" t="s">
        <v>324</v>
      </c>
      <c r="I103" s="8"/>
      <c r="J103" s="47">
        <v>0.1</v>
      </c>
      <c r="K103" s="8">
        <v>100</v>
      </c>
    </row>
    <row r="104" spans="1:11" x14ac:dyDescent="0.35">
      <c r="A104" s="8">
        <v>103</v>
      </c>
      <c r="B104" s="8" t="s">
        <v>499</v>
      </c>
      <c r="C104" s="8" t="s">
        <v>113</v>
      </c>
      <c r="D104" s="8" t="s">
        <v>235</v>
      </c>
      <c r="E104" s="8" t="s">
        <v>136</v>
      </c>
      <c r="F104" s="4" t="s">
        <v>389</v>
      </c>
      <c r="G104" s="8" t="s">
        <v>20</v>
      </c>
      <c r="H104" s="8" t="s">
        <v>324</v>
      </c>
      <c r="I104" s="8"/>
      <c r="J104" s="47">
        <v>0.1</v>
      </c>
      <c r="K104" s="8">
        <v>100</v>
      </c>
    </row>
    <row r="105" spans="1:11" x14ac:dyDescent="0.35">
      <c r="A105" s="8">
        <v>104</v>
      </c>
      <c r="B105" s="8" t="s">
        <v>500</v>
      </c>
      <c r="C105" s="8" t="s">
        <v>113</v>
      </c>
      <c r="D105" s="8" t="s">
        <v>235</v>
      </c>
      <c r="E105" s="8" t="s">
        <v>136</v>
      </c>
      <c r="F105" s="4" t="s">
        <v>390</v>
      </c>
      <c r="G105" s="8" t="s">
        <v>20</v>
      </c>
      <c r="H105" s="8" t="s">
        <v>324</v>
      </c>
      <c r="I105" s="8"/>
      <c r="J105" s="47">
        <v>0.1</v>
      </c>
      <c r="K105" s="8">
        <v>100</v>
      </c>
    </row>
    <row r="106" spans="1:11" x14ac:dyDescent="0.35">
      <c r="A106" s="8">
        <v>105</v>
      </c>
      <c r="B106" s="8" t="s">
        <v>501</v>
      </c>
      <c r="C106" s="8" t="s">
        <v>113</v>
      </c>
      <c r="D106" s="8" t="s">
        <v>235</v>
      </c>
      <c r="E106" s="8" t="s">
        <v>136</v>
      </c>
      <c r="F106" s="4" t="s">
        <v>391</v>
      </c>
      <c r="G106" s="8" t="s">
        <v>20</v>
      </c>
      <c r="H106" s="8" t="s">
        <v>324</v>
      </c>
      <c r="I106" s="8"/>
      <c r="J106" s="47">
        <v>0.1</v>
      </c>
      <c r="K106" s="8">
        <v>100</v>
      </c>
    </row>
    <row r="107" spans="1:11" x14ac:dyDescent="0.35">
      <c r="A107" s="8">
        <v>106</v>
      </c>
      <c r="B107" s="8" t="s">
        <v>502</v>
      </c>
      <c r="C107" s="8" t="s">
        <v>113</v>
      </c>
      <c r="D107" s="8" t="s">
        <v>235</v>
      </c>
      <c r="E107" s="8" t="s">
        <v>136</v>
      </c>
      <c r="F107" s="4" t="s">
        <v>392</v>
      </c>
      <c r="G107" s="8" t="s">
        <v>20</v>
      </c>
      <c r="H107" s="8" t="s">
        <v>324</v>
      </c>
      <c r="I107" s="8"/>
      <c r="J107" s="47">
        <v>0.1</v>
      </c>
      <c r="K107" s="8">
        <v>100</v>
      </c>
    </row>
    <row r="108" spans="1:11" x14ac:dyDescent="0.35">
      <c r="A108" s="8">
        <v>107</v>
      </c>
      <c r="B108" s="8" t="s">
        <v>503</v>
      </c>
      <c r="C108" s="8" t="s">
        <v>113</v>
      </c>
      <c r="D108" s="8" t="s">
        <v>235</v>
      </c>
      <c r="E108" s="8" t="s">
        <v>136</v>
      </c>
      <c r="F108" s="4" t="s">
        <v>393</v>
      </c>
      <c r="G108" s="8" t="s">
        <v>20</v>
      </c>
      <c r="H108" s="8" t="s">
        <v>324</v>
      </c>
      <c r="I108" s="8"/>
      <c r="J108" s="47">
        <v>0.1</v>
      </c>
      <c r="K108" s="8">
        <v>100</v>
      </c>
    </row>
    <row r="109" spans="1:11" x14ac:dyDescent="0.35">
      <c r="A109" s="8">
        <v>108</v>
      </c>
      <c r="B109" s="8" t="s">
        <v>504</v>
      </c>
      <c r="C109" s="8" t="s">
        <v>113</v>
      </c>
      <c r="D109" s="8" t="s">
        <v>235</v>
      </c>
      <c r="E109" s="8" t="s">
        <v>136</v>
      </c>
      <c r="F109" s="4" t="s">
        <v>394</v>
      </c>
      <c r="G109" s="8" t="s">
        <v>20</v>
      </c>
      <c r="H109" s="8" t="s">
        <v>324</v>
      </c>
      <c r="I109" s="8"/>
      <c r="J109" s="47">
        <v>0.1</v>
      </c>
      <c r="K109" s="8">
        <v>100</v>
      </c>
    </row>
    <row r="110" spans="1:11" x14ac:dyDescent="0.35">
      <c r="A110" s="8">
        <v>109</v>
      </c>
      <c r="B110" s="8" t="s">
        <v>505</v>
      </c>
      <c r="C110" s="8" t="s">
        <v>113</v>
      </c>
      <c r="D110" s="8" t="s">
        <v>235</v>
      </c>
      <c r="E110" s="8" t="s">
        <v>136</v>
      </c>
      <c r="F110" s="4" t="s">
        <v>395</v>
      </c>
      <c r="G110" s="8" t="s">
        <v>20</v>
      </c>
      <c r="H110" s="8" t="s">
        <v>324</v>
      </c>
      <c r="I110" s="8"/>
      <c r="J110" s="47">
        <v>0.1</v>
      </c>
      <c r="K110" s="8">
        <v>100</v>
      </c>
    </row>
    <row r="111" spans="1:11" x14ac:dyDescent="0.35">
      <c r="A111" s="8">
        <v>110</v>
      </c>
      <c r="B111" s="8" t="s">
        <v>506</v>
      </c>
      <c r="C111" s="8" t="s">
        <v>113</v>
      </c>
      <c r="D111" s="8" t="s">
        <v>235</v>
      </c>
      <c r="E111" s="8" t="s">
        <v>136</v>
      </c>
      <c r="F111" s="4" t="s">
        <v>396</v>
      </c>
      <c r="G111" s="8" t="s">
        <v>20</v>
      </c>
      <c r="H111" s="8" t="s">
        <v>324</v>
      </c>
      <c r="I111" s="8"/>
      <c r="J111" s="47">
        <v>0.1</v>
      </c>
      <c r="K111" s="8">
        <v>100</v>
      </c>
    </row>
    <row r="112" spans="1:11" x14ac:dyDescent="0.35">
      <c r="A112" s="8">
        <v>111</v>
      </c>
      <c r="B112" s="8" t="s">
        <v>507</v>
      </c>
      <c r="C112" s="8" t="s">
        <v>113</v>
      </c>
      <c r="D112" s="8" t="s">
        <v>235</v>
      </c>
      <c r="E112" s="8" t="s">
        <v>136</v>
      </c>
      <c r="F112" s="4" t="s">
        <v>397</v>
      </c>
      <c r="G112" s="8" t="s">
        <v>20</v>
      </c>
      <c r="H112" s="8" t="s">
        <v>324</v>
      </c>
      <c r="I112" s="8"/>
      <c r="J112" s="47">
        <v>0.1</v>
      </c>
      <c r="K112" s="8">
        <v>100</v>
      </c>
    </row>
    <row r="113" spans="1:11" x14ac:dyDescent="0.35">
      <c r="A113" s="8">
        <v>112</v>
      </c>
      <c r="B113" s="8" t="s">
        <v>508</v>
      </c>
      <c r="C113" s="8" t="s">
        <v>113</v>
      </c>
      <c r="D113" s="8" t="s">
        <v>235</v>
      </c>
      <c r="E113" s="8" t="s">
        <v>136</v>
      </c>
      <c r="F113" s="4" t="s">
        <v>398</v>
      </c>
      <c r="G113" s="8" t="s">
        <v>20</v>
      </c>
      <c r="H113" s="8" t="s">
        <v>324</v>
      </c>
      <c r="I113" s="8"/>
      <c r="J113" s="47">
        <v>0.1</v>
      </c>
      <c r="K113" s="8">
        <v>100</v>
      </c>
    </row>
    <row r="114" spans="1:11" x14ac:dyDescent="0.35">
      <c r="A114" s="8">
        <v>113</v>
      </c>
      <c r="B114" s="8" t="s">
        <v>509</v>
      </c>
      <c r="C114" s="8" t="s">
        <v>113</v>
      </c>
      <c r="D114" s="8" t="s">
        <v>235</v>
      </c>
      <c r="E114" s="8" t="s">
        <v>136</v>
      </c>
      <c r="F114" s="4" t="s">
        <v>399</v>
      </c>
      <c r="G114" s="8" t="s">
        <v>20</v>
      </c>
      <c r="H114" s="8" t="s">
        <v>324</v>
      </c>
      <c r="I114" s="8"/>
      <c r="J114" s="47">
        <v>0.1</v>
      </c>
      <c r="K114" s="8">
        <v>100</v>
      </c>
    </row>
    <row r="115" spans="1:11" x14ac:dyDescent="0.35">
      <c r="A115" s="8">
        <v>114</v>
      </c>
      <c r="B115" s="8" t="s">
        <v>510</v>
      </c>
      <c r="C115" s="8" t="s">
        <v>113</v>
      </c>
      <c r="D115" s="8" t="s">
        <v>235</v>
      </c>
      <c r="E115" s="8" t="s">
        <v>136</v>
      </c>
      <c r="F115" s="4" t="s">
        <v>400</v>
      </c>
      <c r="G115" s="8" t="s">
        <v>20</v>
      </c>
      <c r="H115" s="8" t="s">
        <v>324</v>
      </c>
      <c r="I115" s="8"/>
      <c r="J115" s="47">
        <v>0.1</v>
      </c>
      <c r="K115" s="8">
        <v>100</v>
      </c>
    </row>
    <row r="116" spans="1:11" x14ac:dyDescent="0.35">
      <c r="A116" s="8">
        <v>115</v>
      </c>
      <c r="B116" s="8" t="s">
        <v>511</v>
      </c>
      <c r="C116" s="8" t="s">
        <v>113</v>
      </c>
      <c r="D116" s="8" t="s">
        <v>235</v>
      </c>
      <c r="E116" s="8" t="s">
        <v>136</v>
      </c>
      <c r="F116" s="4" t="s">
        <v>401</v>
      </c>
      <c r="G116" s="8" t="s">
        <v>20</v>
      </c>
      <c r="H116" s="8" t="s">
        <v>324</v>
      </c>
      <c r="I116" s="8"/>
      <c r="J116" s="47">
        <v>0.1</v>
      </c>
      <c r="K116" s="8">
        <v>100</v>
      </c>
    </row>
    <row r="117" spans="1:11" x14ac:dyDescent="0.35">
      <c r="A117" s="8">
        <v>116</v>
      </c>
      <c r="B117" s="8" t="s">
        <v>512</v>
      </c>
      <c r="C117" s="8" t="s">
        <v>113</v>
      </c>
      <c r="D117" s="8" t="s">
        <v>235</v>
      </c>
      <c r="E117" s="8" t="s">
        <v>136</v>
      </c>
      <c r="F117" s="4" t="s">
        <v>402</v>
      </c>
      <c r="G117" s="8" t="s">
        <v>20</v>
      </c>
      <c r="H117" s="8" t="s">
        <v>324</v>
      </c>
      <c r="I117" s="8"/>
      <c r="J117" s="47">
        <v>0.1</v>
      </c>
      <c r="K117" s="8">
        <v>100</v>
      </c>
    </row>
    <row r="118" spans="1:11" x14ac:dyDescent="0.35">
      <c r="A118" s="8">
        <v>117</v>
      </c>
      <c r="B118" s="8" t="s">
        <v>513</v>
      </c>
      <c r="C118" s="8" t="s">
        <v>113</v>
      </c>
      <c r="D118" s="8" t="s">
        <v>235</v>
      </c>
      <c r="E118" s="8" t="s">
        <v>136</v>
      </c>
      <c r="F118" s="4" t="s">
        <v>403</v>
      </c>
      <c r="G118" s="8" t="s">
        <v>20</v>
      </c>
      <c r="H118" s="8" t="s">
        <v>324</v>
      </c>
      <c r="I118" s="8"/>
      <c r="J118" s="47">
        <v>0.1</v>
      </c>
      <c r="K118" s="8">
        <v>100</v>
      </c>
    </row>
    <row r="119" spans="1:11" x14ac:dyDescent="0.35">
      <c r="A119" s="8">
        <v>118</v>
      </c>
      <c r="B119" s="8" t="s">
        <v>514</v>
      </c>
      <c r="C119" s="8" t="s">
        <v>113</v>
      </c>
      <c r="D119" s="8" t="s">
        <v>235</v>
      </c>
      <c r="E119" s="8" t="s">
        <v>136</v>
      </c>
      <c r="F119" s="4" t="s">
        <v>404</v>
      </c>
      <c r="G119" s="8" t="s">
        <v>20</v>
      </c>
      <c r="H119" s="8" t="s">
        <v>324</v>
      </c>
      <c r="I119" s="8"/>
      <c r="J119" s="47">
        <v>0.1</v>
      </c>
      <c r="K119" s="8">
        <v>100</v>
      </c>
    </row>
    <row r="120" spans="1:11" x14ac:dyDescent="0.35">
      <c r="A120" s="8">
        <v>119</v>
      </c>
      <c r="B120" s="8" t="s">
        <v>515</v>
      </c>
      <c r="C120" s="8" t="s">
        <v>113</v>
      </c>
      <c r="D120" s="8" t="s">
        <v>235</v>
      </c>
      <c r="E120" s="8" t="s">
        <v>136</v>
      </c>
      <c r="F120" s="4" t="s">
        <v>405</v>
      </c>
      <c r="G120" s="8" t="s">
        <v>20</v>
      </c>
      <c r="H120" s="8" t="s">
        <v>324</v>
      </c>
      <c r="I120" s="8"/>
      <c r="J120" s="47">
        <v>0.1</v>
      </c>
      <c r="K120" s="8">
        <v>100</v>
      </c>
    </row>
    <row r="121" spans="1:11" x14ac:dyDescent="0.35">
      <c r="A121" s="8">
        <v>120</v>
      </c>
      <c r="B121" s="8" t="s">
        <v>516</v>
      </c>
      <c r="C121" s="8" t="s">
        <v>113</v>
      </c>
      <c r="D121" s="8" t="s">
        <v>235</v>
      </c>
      <c r="E121" s="8" t="s">
        <v>136</v>
      </c>
      <c r="F121" s="4" t="s">
        <v>406</v>
      </c>
      <c r="G121" s="8" t="s">
        <v>20</v>
      </c>
      <c r="H121" s="8" t="s">
        <v>324</v>
      </c>
      <c r="I121" s="8"/>
      <c r="J121" s="47">
        <v>0.1</v>
      </c>
      <c r="K121" s="8">
        <v>100</v>
      </c>
    </row>
    <row r="122" spans="1:11" x14ac:dyDescent="0.35">
      <c r="A122" s="8">
        <v>121</v>
      </c>
      <c r="B122" s="8" t="s">
        <v>517</v>
      </c>
      <c r="C122" s="8" t="s">
        <v>113</v>
      </c>
      <c r="D122" s="8" t="s">
        <v>235</v>
      </c>
      <c r="E122" s="8" t="s">
        <v>136</v>
      </c>
      <c r="F122" s="4" t="s">
        <v>407</v>
      </c>
      <c r="G122" s="8" t="s">
        <v>20</v>
      </c>
      <c r="H122" s="8" t="s">
        <v>324</v>
      </c>
      <c r="I122" s="8"/>
      <c r="J122" s="47">
        <v>0.1</v>
      </c>
      <c r="K122" s="8">
        <v>100</v>
      </c>
    </row>
    <row r="123" spans="1:11" x14ac:dyDescent="0.35">
      <c r="A123" s="8">
        <v>122</v>
      </c>
      <c r="B123" s="8" t="s">
        <v>518</v>
      </c>
      <c r="C123" s="8" t="s">
        <v>113</v>
      </c>
      <c r="D123" s="8" t="s">
        <v>235</v>
      </c>
      <c r="E123" s="8" t="s">
        <v>136</v>
      </c>
      <c r="F123" s="4" t="s">
        <v>408</v>
      </c>
      <c r="G123" s="8" t="s">
        <v>20</v>
      </c>
      <c r="H123" s="8" t="s">
        <v>324</v>
      </c>
      <c r="I123" s="8"/>
      <c r="J123" s="47">
        <v>0.1</v>
      </c>
      <c r="K123" s="8">
        <v>100</v>
      </c>
    </row>
    <row r="124" spans="1:11" x14ac:dyDescent="0.35">
      <c r="A124" s="8">
        <v>123</v>
      </c>
      <c r="B124" s="8" t="s">
        <v>519</v>
      </c>
      <c r="C124" s="8" t="s">
        <v>113</v>
      </c>
      <c r="D124" s="8" t="s">
        <v>235</v>
      </c>
      <c r="E124" s="8" t="s">
        <v>136</v>
      </c>
      <c r="F124" s="4" t="s">
        <v>409</v>
      </c>
      <c r="G124" s="8" t="s">
        <v>20</v>
      </c>
      <c r="H124" s="8" t="s">
        <v>324</v>
      </c>
      <c r="I124" s="8"/>
      <c r="J124" s="47">
        <v>0.1</v>
      </c>
      <c r="K124" s="8">
        <v>100</v>
      </c>
    </row>
    <row r="125" spans="1:11" x14ac:dyDescent="0.35">
      <c r="A125" s="8">
        <v>124</v>
      </c>
      <c r="B125" s="8" t="s">
        <v>520</v>
      </c>
      <c r="C125" s="8" t="s">
        <v>113</v>
      </c>
      <c r="D125" s="8" t="s">
        <v>235</v>
      </c>
      <c r="E125" s="8" t="s">
        <v>136</v>
      </c>
      <c r="F125" s="4" t="s">
        <v>410</v>
      </c>
      <c r="G125" s="8" t="s">
        <v>20</v>
      </c>
      <c r="H125" s="8" t="s">
        <v>324</v>
      </c>
      <c r="I125" s="8"/>
      <c r="J125" s="47">
        <v>0.1</v>
      </c>
      <c r="K125" s="8">
        <v>100</v>
      </c>
    </row>
    <row r="126" spans="1:11" x14ac:dyDescent="0.35">
      <c r="A126" s="8">
        <v>125</v>
      </c>
      <c r="B126" s="8" t="s">
        <v>521</v>
      </c>
      <c r="C126" s="8" t="s">
        <v>113</v>
      </c>
      <c r="D126" s="8" t="s">
        <v>235</v>
      </c>
      <c r="E126" s="8" t="s">
        <v>136</v>
      </c>
      <c r="F126" s="4" t="s">
        <v>411</v>
      </c>
      <c r="G126" s="8" t="s">
        <v>20</v>
      </c>
      <c r="H126" s="8" t="s">
        <v>324</v>
      </c>
      <c r="I126" s="8"/>
      <c r="J126" s="47">
        <v>0.1</v>
      </c>
      <c r="K126" s="8">
        <v>100</v>
      </c>
    </row>
    <row r="127" spans="1:11" x14ac:dyDescent="0.35">
      <c r="A127" s="8">
        <v>126</v>
      </c>
      <c r="B127" s="8" t="s">
        <v>522</v>
      </c>
      <c r="C127" s="8" t="s">
        <v>113</v>
      </c>
      <c r="D127" s="8" t="s">
        <v>235</v>
      </c>
      <c r="E127" s="8" t="s">
        <v>136</v>
      </c>
      <c r="F127" s="4" t="s">
        <v>412</v>
      </c>
      <c r="G127" s="8" t="s">
        <v>20</v>
      </c>
      <c r="H127" s="8" t="s">
        <v>324</v>
      </c>
      <c r="I127" s="8"/>
      <c r="J127" s="47">
        <v>0.1</v>
      </c>
      <c r="K127" s="8">
        <v>100</v>
      </c>
    </row>
    <row r="128" spans="1:11" x14ac:dyDescent="0.35">
      <c r="A128" s="8">
        <v>127</v>
      </c>
      <c r="B128" s="8" t="s">
        <v>523</v>
      </c>
      <c r="C128" s="8" t="s">
        <v>113</v>
      </c>
      <c r="D128" s="8" t="s">
        <v>235</v>
      </c>
      <c r="E128" s="8" t="s">
        <v>136</v>
      </c>
      <c r="F128" s="4" t="s">
        <v>413</v>
      </c>
      <c r="G128" s="8" t="s">
        <v>20</v>
      </c>
      <c r="H128" s="8" t="s">
        <v>324</v>
      </c>
      <c r="I128" s="8"/>
      <c r="J128" s="47">
        <v>0.1</v>
      </c>
      <c r="K128" s="8">
        <v>100</v>
      </c>
    </row>
    <row r="129" spans="1:11" x14ac:dyDescent="0.35">
      <c r="A129" s="8">
        <v>128</v>
      </c>
      <c r="B129" s="8" t="s">
        <v>524</v>
      </c>
      <c r="C129" s="8" t="s">
        <v>113</v>
      </c>
      <c r="D129" s="8" t="s">
        <v>235</v>
      </c>
      <c r="E129" s="8" t="s">
        <v>136</v>
      </c>
      <c r="F129" s="4" t="s">
        <v>414</v>
      </c>
      <c r="G129" s="8" t="s">
        <v>20</v>
      </c>
      <c r="H129" s="8" t="s">
        <v>324</v>
      </c>
      <c r="I129" s="8"/>
      <c r="J129" s="47">
        <v>0.1</v>
      </c>
      <c r="K129" s="8">
        <v>100</v>
      </c>
    </row>
    <row r="130" spans="1:11" x14ac:dyDescent="0.35">
      <c r="A130" s="8">
        <v>129</v>
      </c>
      <c r="B130" s="8" t="s">
        <v>525</v>
      </c>
      <c r="C130" s="8" t="s">
        <v>113</v>
      </c>
      <c r="D130" s="8" t="s">
        <v>235</v>
      </c>
      <c r="E130" s="8" t="s">
        <v>136</v>
      </c>
      <c r="F130" s="4" t="s">
        <v>415</v>
      </c>
      <c r="G130" s="8" t="s">
        <v>20</v>
      </c>
      <c r="H130" s="8" t="s">
        <v>324</v>
      </c>
      <c r="I130" s="8"/>
      <c r="J130" s="47">
        <v>0.1</v>
      </c>
      <c r="K130" s="8">
        <v>100</v>
      </c>
    </row>
    <row r="131" spans="1:11" x14ac:dyDescent="0.35">
      <c r="A131" s="8">
        <v>130</v>
      </c>
      <c r="B131" s="8" t="s">
        <v>526</v>
      </c>
      <c r="C131" s="8" t="s">
        <v>113</v>
      </c>
      <c r="D131" s="8" t="s">
        <v>235</v>
      </c>
      <c r="E131" s="8" t="s">
        <v>136</v>
      </c>
      <c r="F131" s="4" t="s">
        <v>416</v>
      </c>
      <c r="G131" s="8" t="s">
        <v>20</v>
      </c>
      <c r="H131" s="8" t="s">
        <v>324</v>
      </c>
      <c r="I131" s="8"/>
      <c r="J131" s="47">
        <v>0.1</v>
      </c>
      <c r="K131" s="8">
        <v>100</v>
      </c>
    </row>
    <row r="132" spans="1:11" x14ac:dyDescent="0.35">
      <c r="A132" s="8">
        <v>131</v>
      </c>
      <c r="B132" s="8" t="s">
        <v>527</v>
      </c>
      <c r="C132" s="8" t="s">
        <v>113</v>
      </c>
      <c r="D132" s="8" t="s">
        <v>235</v>
      </c>
      <c r="E132" s="8" t="s">
        <v>136</v>
      </c>
      <c r="F132" s="4" t="s">
        <v>417</v>
      </c>
      <c r="G132" s="8" t="s">
        <v>20</v>
      </c>
      <c r="H132" s="8" t="s">
        <v>324</v>
      </c>
      <c r="I132" s="8"/>
      <c r="J132" s="47">
        <v>0.1</v>
      </c>
      <c r="K132" s="8">
        <v>100</v>
      </c>
    </row>
    <row r="133" spans="1:11" x14ac:dyDescent="0.35">
      <c r="A133" s="8">
        <v>132</v>
      </c>
      <c r="B133" s="8" t="s">
        <v>528</v>
      </c>
      <c r="C133" s="8" t="s">
        <v>113</v>
      </c>
      <c r="D133" s="8" t="s">
        <v>235</v>
      </c>
      <c r="E133" s="8" t="s">
        <v>136</v>
      </c>
      <c r="F133" s="4" t="s">
        <v>418</v>
      </c>
      <c r="G133" s="8" t="s">
        <v>20</v>
      </c>
      <c r="H133" s="8" t="s">
        <v>324</v>
      </c>
      <c r="I133" s="8"/>
      <c r="J133" s="47">
        <v>0.1</v>
      </c>
      <c r="K133" s="8">
        <v>100</v>
      </c>
    </row>
    <row r="134" spans="1:11" x14ac:dyDescent="0.35">
      <c r="A134" s="8">
        <v>133</v>
      </c>
      <c r="B134" s="8" t="s">
        <v>529</v>
      </c>
      <c r="C134" s="8" t="s">
        <v>113</v>
      </c>
      <c r="D134" s="8" t="s">
        <v>235</v>
      </c>
      <c r="E134" s="8" t="s">
        <v>136</v>
      </c>
      <c r="F134" s="4" t="s">
        <v>419</v>
      </c>
      <c r="G134" s="8" t="s">
        <v>20</v>
      </c>
      <c r="H134" s="8" t="s">
        <v>324</v>
      </c>
      <c r="I134" s="8"/>
      <c r="J134" s="47">
        <v>0.1</v>
      </c>
      <c r="K134" s="8">
        <v>100</v>
      </c>
    </row>
    <row r="135" spans="1:11" x14ac:dyDescent="0.35">
      <c r="A135" s="8">
        <v>134</v>
      </c>
      <c r="B135" s="8" t="s">
        <v>530</v>
      </c>
      <c r="C135" s="8" t="s">
        <v>113</v>
      </c>
      <c r="D135" s="8" t="s">
        <v>235</v>
      </c>
      <c r="E135" s="8" t="s">
        <v>136</v>
      </c>
      <c r="F135" s="4" t="s">
        <v>420</v>
      </c>
      <c r="G135" s="8" t="s">
        <v>20</v>
      </c>
      <c r="H135" s="8" t="s">
        <v>324</v>
      </c>
      <c r="I135" s="8"/>
      <c r="J135" s="47">
        <v>0.1</v>
      </c>
      <c r="K135" s="8">
        <v>100</v>
      </c>
    </row>
    <row r="136" spans="1:11" x14ac:dyDescent="0.35">
      <c r="A136" s="8">
        <v>135</v>
      </c>
      <c r="B136" s="8" t="s">
        <v>531</v>
      </c>
      <c r="C136" s="8" t="s">
        <v>113</v>
      </c>
      <c r="D136" s="8" t="s">
        <v>235</v>
      </c>
      <c r="E136" s="8" t="s">
        <v>136</v>
      </c>
      <c r="F136" s="4" t="s">
        <v>421</v>
      </c>
      <c r="G136" s="8" t="s">
        <v>20</v>
      </c>
      <c r="H136" s="8" t="s">
        <v>324</v>
      </c>
      <c r="I136" s="8"/>
      <c r="J136" s="47">
        <v>0.1</v>
      </c>
      <c r="K136" s="8">
        <v>100</v>
      </c>
    </row>
    <row r="137" spans="1:11" x14ac:dyDescent="0.35">
      <c r="A137" s="8">
        <v>136</v>
      </c>
      <c r="B137" s="8" t="s">
        <v>532</v>
      </c>
      <c r="C137" s="8" t="s">
        <v>113</v>
      </c>
      <c r="D137" s="8" t="s">
        <v>235</v>
      </c>
      <c r="E137" s="8" t="s">
        <v>136</v>
      </c>
      <c r="F137" s="4" t="s">
        <v>422</v>
      </c>
      <c r="G137" s="8" t="s">
        <v>20</v>
      </c>
      <c r="H137" s="8" t="s">
        <v>324</v>
      </c>
      <c r="I137" s="8"/>
      <c r="J137" s="47">
        <v>0.1</v>
      </c>
      <c r="K137" s="8">
        <v>100</v>
      </c>
    </row>
    <row r="138" spans="1:11" x14ac:dyDescent="0.35">
      <c r="A138" s="8">
        <v>137</v>
      </c>
      <c r="B138" s="8" t="s">
        <v>533</v>
      </c>
      <c r="C138" s="8" t="s">
        <v>113</v>
      </c>
      <c r="D138" s="8" t="s">
        <v>235</v>
      </c>
      <c r="E138" s="8" t="s">
        <v>136</v>
      </c>
      <c r="F138" s="4" t="s">
        <v>423</v>
      </c>
      <c r="G138" s="8" t="s">
        <v>20</v>
      </c>
      <c r="H138" s="8" t="s">
        <v>324</v>
      </c>
      <c r="I138" s="8"/>
      <c r="J138" s="47">
        <v>0.1</v>
      </c>
      <c r="K138" s="8">
        <v>100</v>
      </c>
    </row>
    <row r="139" spans="1:11" x14ac:dyDescent="0.35">
      <c r="A139" s="8">
        <v>138</v>
      </c>
      <c r="B139" s="8" t="s">
        <v>534</v>
      </c>
      <c r="C139" s="8" t="s">
        <v>113</v>
      </c>
      <c r="D139" s="8" t="s">
        <v>235</v>
      </c>
      <c r="E139" s="8" t="s">
        <v>136</v>
      </c>
      <c r="F139" s="4" t="s">
        <v>424</v>
      </c>
      <c r="G139" s="8" t="s">
        <v>20</v>
      </c>
      <c r="H139" s="8" t="s">
        <v>324</v>
      </c>
      <c r="I139" s="8"/>
      <c r="J139" s="47">
        <v>0.1</v>
      </c>
      <c r="K139" s="8">
        <v>100</v>
      </c>
    </row>
    <row r="140" spans="1:11" x14ac:dyDescent="0.35">
      <c r="A140" s="8">
        <v>139</v>
      </c>
      <c r="B140" s="8" t="s">
        <v>535</v>
      </c>
      <c r="C140" s="8" t="s">
        <v>113</v>
      </c>
      <c r="D140" s="8" t="s">
        <v>235</v>
      </c>
      <c r="E140" s="8" t="s">
        <v>136</v>
      </c>
      <c r="F140" s="4" t="s">
        <v>425</v>
      </c>
      <c r="G140" s="8" t="s">
        <v>20</v>
      </c>
      <c r="H140" s="8" t="s">
        <v>324</v>
      </c>
      <c r="I140" s="8"/>
      <c r="J140" s="47">
        <v>0.1</v>
      </c>
      <c r="K140" s="8">
        <v>100</v>
      </c>
    </row>
    <row r="141" spans="1:11" x14ac:dyDescent="0.35">
      <c r="A141" s="8">
        <v>140</v>
      </c>
      <c r="B141" s="8" t="s">
        <v>536</v>
      </c>
      <c r="C141" s="8" t="s">
        <v>113</v>
      </c>
      <c r="D141" s="8" t="s">
        <v>235</v>
      </c>
      <c r="E141" s="8" t="s">
        <v>136</v>
      </c>
      <c r="F141" s="4" t="s">
        <v>426</v>
      </c>
      <c r="G141" s="8" t="s">
        <v>20</v>
      </c>
      <c r="H141" s="8" t="s">
        <v>324</v>
      </c>
      <c r="I141" s="8"/>
      <c r="J141" s="47">
        <v>0.1</v>
      </c>
      <c r="K141" s="8">
        <v>100</v>
      </c>
    </row>
    <row r="142" spans="1:11" x14ac:dyDescent="0.35">
      <c r="A142" s="8">
        <v>141</v>
      </c>
      <c r="B142" s="8" t="s">
        <v>537</v>
      </c>
      <c r="C142" s="8" t="s">
        <v>113</v>
      </c>
      <c r="D142" s="8" t="s">
        <v>235</v>
      </c>
      <c r="E142" s="8" t="s">
        <v>136</v>
      </c>
      <c r="F142" s="4" t="s">
        <v>427</v>
      </c>
      <c r="G142" s="8" t="s">
        <v>20</v>
      </c>
      <c r="H142" s="8" t="s">
        <v>324</v>
      </c>
      <c r="I142" s="8"/>
      <c r="J142" s="47">
        <v>0.1</v>
      </c>
      <c r="K142" s="8">
        <v>100</v>
      </c>
    </row>
    <row r="143" spans="1:11" x14ac:dyDescent="0.35">
      <c r="A143" s="8">
        <v>142</v>
      </c>
      <c r="B143" s="8" t="s">
        <v>538</v>
      </c>
      <c r="C143" s="8" t="s">
        <v>113</v>
      </c>
      <c r="D143" s="8" t="s">
        <v>235</v>
      </c>
      <c r="E143" s="8" t="s">
        <v>136</v>
      </c>
      <c r="F143" s="4" t="s">
        <v>428</v>
      </c>
      <c r="G143" s="8" t="s">
        <v>20</v>
      </c>
      <c r="H143" s="8" t="s">
        <v>324</v>
      </c>
      <c r="I143" s="8"/>
      <c r="J143" s="47">
        <v>0.1</v>
      </c>
      <c r="K143" s="8">
        <v>100</v>
      </c>
    </row>
    <row r="144" spans="1:11" x14ac:dyDescent="0.35">
      <c r="A144" s="8">
        <v>143</v>
      </c>
      <c r="B144" s="8" t="s">
        <v>539</v>
      </c>
      <c r="C144" s="8" t="s">
        <v>113</v>
      </c>
      <c r="D144" s="8" t="s">
        <v>235</v>
      </c>
      <c r="E144" s="8" t="s">
        <v>136</v>
      </c>
      <c r="F144" s="4" t="s">
        <v>429</v>
      </c>
      <c r="G144" s="8" t="s">
        <v>20</v>
      </c>
      <c r="H144" s="8" t="s">
        <v>324</v>
      </c>
      <c r="I144" s="8"/>
      <c r="J144" s="47">
        <v>0.1</v>
      </c>
      <c r="K144" s="8">
        <v>100</v>
      </c>
    </row>
    <row r="145" spans="1:11" x14ac:dyDescent="0.35">
      <c r="A145" s="8">
        <v>144</v>
      </c>
      <c r="B145" s="8" t="s">
        <v>540</v>
      </c>
      <c r="C145" s="8" t="s">
        <v>113</v>
      </c>
      <c r="D145" s="8" t="s">
        <v>235</v>
      </c>
      <c r="E145" s="8" t="s">
        <v>136</v>
      </c>
      <c r="F145" s="4" t="s">
        <v>430</v>
      </c>
      <c r="G145" s="8" t="s">
        <v>20</v>
      </c>
      <c r="H145" s="8" t="s">
        <v>324</v>
      </c>
      <c r="I145" s="8"/>
      <c r="J145" s="47">
        <v>0.1</v>
      </c>
      <c r="K145" s="8">
        <v>100</v>
      </c>
    </row>
    <row r="146" spans="1:11" x14ac:dyDescent="0.35">
      <c r="A146" s="8">
        <v>145</v>
      </c>
      <c r="B146" s="8" t="s">
        <v>541</v>
      </c>
      <c r="C146" s="8" t="s">
        <v>113</v>
      </c>
      <c r="D146" s="8" t="s">
        <v>235</v>
      </c>
      <c r="E146" s="8" t="s">
        <v>136</v>
      </c>
      <c r="F146" s="4" t="s">
        <v>431</v>
      </c>
      <c r="G146" s="8" t="s">
        <v>20</v>
      </c>
      <c r="H146" s="8" t="s">
        <v>324</v>
      </c>
      <c r="I146" s="8"/>
      <c r="J146" s="47">
        <v>0.1</v>
      </c>
      <c r="K146" s="8">
        <v>100</v>
      </c>
    </row>
    <row r="147" spans="1:11" x14ac:dyDescent="0.35">
      <c r="A147" s="8">
        <v>146</v>
      </c>
      <c r="B147" s="8" t="s">
        <v>542</v>
      </c>
      <c r="C147" s="8" t="s">
        <v>113</v>
      </c>
      <c r="D147" s="8" t="s">
        <v>235</v>
      </c>
      <c r="E147" s="8" t="s">
        <v>136</v>
      </c>
      <c r="F147" s="4" t="s">
        <v>432</v>
      </c>
      <c r="G147" s="8" t="s">
        <v>20</v>
      </c>
      <c r="H147" s="8" t="s">
        <v>324</v>
      </c>
      <c r="I147" s="8"/>
      <c r="J147" s="47">
        <v>0.1</v>
      </c>
      <c r="K147" s="8">
        <v>100</v>
      </c>
    </row>
    <row r="148" spans="1:11" x14ac:dyDescent="0.35">
      <c r="A148" s="8">
        <v>147</v>
      </c>
      <c r="B148" s="8" t="s">
        <v>543</v>
      </c>
      <c r="C148" s="8" t="s">
        <v>113</v>
      </c>
      <c r="D148" s="8" t="s">
        <v>235</v>
      </c>
      <c r="E148" s="8" t="s">
        <v>136</v>
      </c>
      <c r="F148" s="4" t="s">
        <v>433</v>
      </c>
      <c r="G148" s="8" t="s">
        <v>20</v>
      </c>
      <c r="H148" s="8" t="s">
        <v>324</v>
      </c>
      <c r="I148" s="8"/>
      <c r="J148" s="47">
        <v>0.1</v>
      </c>
      <c r="K148" s="8">
        <v>100</v>
      </c>
    </row>
    <row r="149" spans="1:11" x14ac:dyDescent="0.35">
      <c r="A149" s="8">
        <v>148</v>
      </c>
      <c r="B149" s="8" t="s">
        <v>544</v>
      </c>
      <c r="C149" s="8" t="s">
        <v>113</v>
      </c>
      <c r="D149" s="8" t="s">
        <v>235</v>
      </c>
      <c r="E149" s="8" t="s">
        <v>136</v>
      </c>
      <c r="F149" s="4" t="s">
        <v>434</v>
      </c>
      <c r="G149" s="8" t="s">
        <v>20</v>
      </c>
      <c r="H149" s="8" t="s">
        <v>324</v>
      </c>
      <c r="I149" s="8"/>
      <c r="J149" s="47">
        <v>0.1</v>
      </c>
      <c r="K149" s="8">
        <v>100</v>
      </c>
    </row>
    <row r="150" spans="1:11" x14ac:dyDescent="0.35">
      <c r="A150" s="8">
        <v>149</v>
      </c>
      <c r="B150" s="8" t="s">
        <v>545</v>
      </c>
      <c r="C150" s="8" t="s">
        <v>113</v>
      </c>
      <c r="D150" s="8" t="s">
        <v>235</v>
      </c>
      <c r="E150" s="8" t="s">
        <v>136</v>
      </c>
      <c r="F150" s="4" t="s">
        <v>435</v>
      </c>
      <c r="G150" s="8" t="s">
        <v>20</v>
      </c>
      <c r="H150" s="8" t="s">
        <v>324</v>
      </c>
      <c r="I150" s="8"/>
      <c r="J150" s="47">
        <v>0.1</v>
      </c>
      <c r="K150" s="8">
        <v>100</v>
      </c>
    </row>
    <row r="151" spans="1:11" x14ac:dyDescent="0.35">
      <c r="A151" s="8">
        <v>150</v>
      </c>
      <c r="B151" s="8" t="s">
        <v>546</v>
      </c>
      <c r="C151" s="8" t="s">
        <v>113</v>
      </c>
      <c r="D151" s="8" t="s">
        <v>235</v>
      </c>
      <c r="E151" s="8" t="s">
        <v>136</v>
      </c>
      <c r="F151" s="4" t="s">
        <v>436</v>
      </c>
      <c r="G151" s="8" t="s">
        <v>20</v>
      </c>
      <c r="H151" s="8" t="s">
        <v>324</v>
      </c>
      <c r="I151" s="8"/>
      <c r="J151" s="47">
        <v>0.1</v>
      </c>
      <c r="K151" s="8">
        <v>100</v>
      </c>
    </row>
    <row r="152" spans="1:11" x14ac:dyDescent="0.35">
      <c r="A152" s="8">
        <v>151</v>
      </c>
      <c r="B152" s="8" t="s">
        <v>547</v>
      </c>
      <c r="C152" s="8" t="s">
        <v>113</v>
      </c>
      <c r="D152" s="8" t="s">
        <v>235</v>
      </c>
      <c r="E152" s="8" t="s">
        <v>136</v>
      </c>
      <c r="F152" s="4" t="s">
        <v>437</v>
      </c>
      <c r="G152" s="8" t="s">
        <v>20</v>
      </c>
      <c r="H152" s="8" t="s">
        <v>324</v>
      </c>
      <c r="I152" s="8"/>
      <c r="J152" s="47">
        <v>0.1</v>
      </c>
      <c r="K152" s="8">
        <v>100</v>
      </c>
    </row>
    <row r="153" spans="1:11" x14ac:dyDescent="0.35">
      <c r="A153" s="8">
        <v>152</v>
      </c>
      <c r="B153" s="8" t="s">
        <v>548</v>
      </c>
      <c r="C153" s="8" t="s">
        <v>113</v>
      </c>
      <c r="D153" s="8" t="s">
        <v>235</v>
      </c>
      <c r="E153" s="8" t="s">
        <v>136</v>
      </c>
      <c r="F153" s="4" t="s">
        <v>438</v>
      </c>
      <c r="G153" s="8" t="s">
        <v>20</v>
      </c>
      <c r="H153" s="8" t="s">
        <v>324</v>
      </c>
      <c r="I153" s="8"/>
      <c r="J153" s="47">
        <v>0.1</v>
      </c>
      <c r="K153" s="8">
        <v>100</v>
      </c>
    </row>
    <row r="154" spans="1:11" x14ac:dyDescent="0.35">
      <c r="A154" s="8">
        <v>153</v>
      </c>
      <c r="B154" s="8" t="s">
        <v>549</v>
      </c>
      <c r="C154" s="8" t="s">
        <v>113</v>
      </c>
      <c r="D154" s="8" t="s">
        <v>235</v>
      </c>
      <c r="E154" s="8" t="s">
        <v>136</v>
      </c>
      <c r="F154" s="4" t="s">
        <v>439</v>
      </c>
      <c r="G154" s="8" t="s">
        <v>20</v>
      </c>
      <c r="H154" s="8" t="s">
        <v>324</v>
      </c>
      <c r="I154" s="8"/>
      <c r="J154" s="47">
        <v>0.1</v>
      </c>
      <c r="K154" s="8">
        <v>100</v>
      </c>
    </row>
    <row r="155" spans="1:11" x14ac:dyDescent="0.35">
      <c r="A155" s="8">
        <v>154</v>
      </c>
      <c r="B155" s="8" t="s">
        <v>550</v>
      </c>
      <c r="C155" s="8" t="s">
        <v>113</v>
      </c>
      <c r="D155" s="8" t="s">
        <v>235</v>
      </c>
      <c r="E155" s="8" t="s">
        <v>136</v>
      </c>
      <c r="F155" s="4" t="s">
        <v>440</v>
      </c>
      <c r="G155" s="8" t="s">
        <v>20</v>
      </c>
      <c r="H155" s="8" t="s">
        <v>324</v>
      </c>
      <c r="I155" s="8"/>
      <c r="J155" s="47">
        <v>0.1</v>
      </c>
      <c r="K155" s="8">
        <v>100</v>
      </c>
    </row>
    <row r="156" spans="1:11" x14ac:dyDescent="0.35">
      <c r="A156" s="8">
        <v>155</v>
      </c>
      <c r="B156" s="8" t="s">
        <v>551</v>
      </c>
      <c r="C156" s="8" t="s">
        <v>113</v>
      </c>
      <c r="D156" s="8" t="s">
        <v>235</v>
      </c>
      <c r="E156" s="8" t="s">
        <v>136</v>
      </c>
      <c r="F156" s="4" t="s">
        <v>441</v>
      </c>
      <c r="G156" s="8" t="s">
        <v>20</v>
      </c>
      <c r="H156" s="8" t="s">
        <v>324</v>
      </c>
      <c r="I156" s="8"/>
      <c r="J156" s="47">
        <v>0.1</v>
      </c>
      <c r="K156" s="8">
        <v>100</v>
      </c>
    </row>
    <row r="157" spans="1:11" x14ac:dyDescent="0.35">
      <c r="A157" s="8">
        <v>156</v>
      </c>
      <c r="B157" s="8" t="s">
        <v>552</v>
      </c>
      <c r="C157" s="8" t="s">
        <v>113</v>
      </c>
      <c r="D157" s="8" t="s">
        <v>235</v>
      </c>
      <c r="E157" s="8" t="s">
        <v>136</v>
      </c>
      <c r="F157" s="4" t="s">
        <v>442</v>
      </c>
      <c r="G157" s="8" t="s">
        <v>20</v>
      </c>
      <c r="H157" s="8" t="s">
        <v>324</v>
      </c>
      <c r="I157" s="8"/>
      <c r="J157" s="47">
        <v>0.1</v>
      </c>
      <c r="K157" s="8">
        <v>100</v>
      </c>
    </row>
    <row r="158" spans="1:11" x14ac:dyDescent="0.35">
      <c r="A158" s="8">
        <v>157</v>
      </c>
      <c r="B158" s="8" t="s">
        <v>553</v>
      </c>
      <c r="C158" s="8" t="s">
        <v>113</v>
      </c>
      <c r="D158" s="8" t="s">
        <v>235</v>
      </c>
      <c r="E158" s="8" t="s">
        <v>136</v>
      </c>
      <c r="F158" s="4" t="s">
        <v>443</v>
      </c>
      <c r="G158" s="8" t="s">
        <v>20</v>
      </c>
      <c r="H158" s="8" t="s">
        <v>324</v>
      </c>
      <c r="I158" s="8"/>
      <c r="J158" s="47">
        <v>0.1</v>
      </c>
      <c r="K158" s="8">
        <v>100</v>
      </c>
    </row>
    <row r="159" spans="1:11" x14ac:dyDescent="0.35">
      <c r="A159" s="8">
        <v>158</v>
      </c>
      <c r="B159" s="8" t="s">
        <v>554</v>
      </c>
      <c r="C159" s="8" t="s">
        <v>113</v>
      </c>
      <c r="D159" s="8" t="s">
        <v>235</v>
      </c>
      <c r="E159" s="8" t="s">
        <v>136</v>
      </c>
      <c r="F159" s="4" t="s">
        <v>444</v>
      </c>
      <c r="G159" s="8" t="s">
        <v>20</v>
      </c>
      <c r="H159" s="8" t="s">
        <v>324</v>
      </c>
      <c r="I159" s="8"/>
      <c r="J159" s="47">
        <v>0.1</v>
      </c>
      <c r="K159" s="8">
        <v>100</v>
      </c>
    </row>
    <row r="160" spans="1:11" x14ac:dyDescent="0.35">
      <c r="A160" s="8">
        <v>159</v>
      </c>
      <c r="B160" s="8" t="s">
        <v>555</v>
      </c>
      <c r="C160" s="8" t="s">
        <v>113</v>
      </c>
      <c r="D160" s="8" t="s">
        <v>235</v>
      </c>
      <c r="E160" s="8" t="s">
        <v>136</v>
      </c>
      <c r="F160" s="4" t="s">
        <v>445</v>
      </c>
      <c r="G160" s="8" t="s">
        <v>20</v>
      </c>
      <c r="H160" s="8" t="s">
        <v>324</v>
      </c>
      <c r="I160" s="8"/>
      <c r="J160" s="47">
        <v>0.1</v>
      </c>
      <c r="K160" s="8">
        <v>100</v>
      </c>
    </row>
    <row r="161" spans="1:11" x14ac:dyDescent="0.35">
      <c r="A161" s="8">
        <v>160</v>
      </c>
      <c r="B161" s="8" t="s">
        <v>556</v>
      </c>
      <c r="C161" s="8" t="s">
        <v>113</v>
      </c>
      <c r="D161" s="8" t="s">
        <v>235</v>
      </c>
      <c r="E161" s="8" t="s">
        <v>136</v>
      </c>
      <c r="F161" s="4" t="s">
        <v>446</v>
      </c>
      <c r="G161" s="8" t="s">
        <v>20</v>
      </c>
      <c r="H161" s="8" t="s">
        <v>324</v>
      </c>
      <c r="I161" s="8"/>
      <c r="J161" s="47">
        <v>0.1</v>
      </c>
      <c r="K161" s="8">
        <v>100</v>
      </c>
    </row>
    <row r="162" spans="1:11" x14ac:dyDescent="0.35">
      <c r="A162" s="8">
        <v>161</v>
      </c>
      <c r="B162" s="8" t="s">
        <v>557</v>
      </c>
      <c r="C162" s="8" t="s">
        <v>113</v>
      </c>
      <c r="D162" s="8" t="s">
        <v>235</v>
      </c>
      <c r="E162" s="8" t="s">
        <v>136</v>
      </c>
      <c r="F162" s="4" t="s">
        <v>447</v>
      </c>
      <c r="G162" s="8" t="s">
        <v>20</v>
      </c>
      <c r="H162" s="8" t="s">
        <v>324</v>
      </c>
      <c r="I162" s="8"/>
      <c r="J162" s="47">
        <v>0.1</v>
      </c>
      <c r="K162" s="8">
        <v>100</v>
      </c>
    </row>
    <row r="163" spans="1:11" x14ac:dyDescent="0.35">
      <c r="A163" s="8">
        <v>162</v>
      </c>
      <c r="B163" s="8" t="s">
        <v>558</v>
      </c>
      <c r="C163" s="8" t="s">
        <v>113</v>
      </c>
      <c r="D163" s="8" t="s">
        <v>235</v>
      </c>
      <c r="E163" s="8" t="s">
        <v>136</v>
      </c>
      <c r="F163" s="4" t="s">
        <v>448</v>
      </c>
      <c r="G163" s="8" t="s">
        <v>20</v>
      </c>
      <c r="H163" s="8" t="s">
        <v>324</v>
      </c>
      <c r="I163" s="8"/>
      <c r="J163" s="47">
        <v>0.1</v>
      </c>
      <c r="K163" s="8">
        <v>100</v>
      </c>
    </row>
    <row r="164" spans="1:11" x14ac:dyDescent="0.35">
      <c r="A164" s="8">
        <v>163</v>
      </c>
      <c r="B164" s="8" t="s">
        <v>559</v>
      </c>
      <c r="C164" s="8" t="s">
        <v>113</v>
      </c>
      <c r="D164" s="8" t="s">
        <v>235</v>
      </c>
      <c r="E164" s="8" t="s">
        <v>136</v>
      </c>
      <c r="F164" s="4" t="s">
        <v>449</v>
      </c>
      <c r="G164" s="8" t="s">
        <v>20</v>
      </c>
      <c r="H164" s="8" t="s">
        <v>324</v>
      </c>
      <c r="I164" s="8"/>
      <c r="J164" s="47">
        <v>0.1</v>
      </c>
      <c r="K164" s="8">
        <v>100</v>
      </c>
    </row>
    <row r="165" spans="1:11" x14ac:dyDescent="0.35">
      <c r="A165" s="8">
        <v>164</v>
      </c>
      <c r="B165" s="8" t="s">
        <v>560</v>
      </c>
      <c r="C165" s="8" t="s">
        <v>113</v>
      </c>
      <c r="D165" s="8" t="s">
        <v>235</v>
      </c>
      <c r="E165" s="8" t="s">
        <v>136</v>
      </c>
      <c r="F165" s="4" t="s">
        <v>450</v>
      </c>
      <c r="G165" s="8" t="s">
        <v>20</v>
      </c>
      <c r="H165" s="8" t="s">
        <v>324</v>
      </c>
      <c r="I165" s="8"/>
      <c r="J165" s="47">
        <v>0.1</v>
      </c>
      <c r="K165" s="8">
        <v>100</v>
      </c>
    </row>
    <row r="166" spans="1:11" x14ac:dyDescent="0.35">
      <c r="A166" s="8">
        <v>165</v>
      </c>
      <c r="B166" s="8" t="s">
        <v>561</v>
      </c>
      <c r="C166" s="8" t="s">
        <v>113</v>
      </c>
      <c r="D166" s="8" t="s">
        <v>235</v>
      </c>
      <c r="E166" s="8" t="s">
        <v>136</v>
      </c>
      <c r="F166" s="4" t="s">
        <v>451</v>
      </c>
      <c r="G166" s="8" t="s">
        <v>20</v>
      </c>
      <c r="H166" s="8" t="s">
        <v>324</v>
      </c>
      <c r="I166" s="8"/>
      <c r="J166" s="47">
        <v>0.1</v>
      </c>
      <c r="K166" s="8">
        <v>100</v>
      </c>
    </row>
    <row r="167" spans="1:11" x14ac:dyDescent="0.35">
      <c r="A167" s="8">
        <v>166</v>
      </c>
      <c r="B167" s="8" t="s">
        <v>562</v>
      </c>
      <c r="C167" s="8" t="s">
        <v>113</v>
      </c>
      <c r="D167" s="8" t="s">
        <v>235</v>
      </c>
      <c r="E167" s="8" t="s">
        <v>136</v>
      </c>
      <c r="F167" s="4" t="s">
        <v>452</v>
      </c>
      <c r="G167" s="8" t="s">
        <v>20</v>
      </c>
      <c r="H167" s="8" t="s">
        <v>324</v>
      </c>
      <c r="I167" s="8"/>
      <c r="J167" s="47">
        <v>0.1</v>
      </c>
      <c r="K167" s="8">
        <v>100</v>
      </c>
    </row>
    <row r="168" spans="1:11" x14ac:dyDescent="0.35">
      <c r="A168" s="8">
        <v>167</v>
      </c>
      <c r="B168" s="8" t="s">
        <v>563</v>
      </c>
      <c r="C168" s="8" t="s">
        <v>113</v>
      </c>
      <c r="D168" s="8" t="s">
        <v>235</v>
      </c>
      <c r="E168" s="8" t="s">
        <v>136</v>
      </c>
      <c r="F168" s="4" t="s">
        <v>453</v>
      </c>
      <c r="G168" s="8" t="s">
        <v>20</v>
      </c>
      <c r="H168" s="8" t="s">
        <v>324</v>
      </c>
      <c r="I168" s="8"/>
      <c r="J168" s="47">
        <v>0.1</v>
      </c>
      <c r="K168" s="8">
        <v>100</v>
      </c>
    </row>
    <row r="169" spans="1:11" x14ac:dyDescent="0.35">
      <c r="A169" s="8">
        <v>168</v>
      </c>
      <c r="B169" s="8" t="s">
        <v>564</v>
      </c>
      <c r="C169" s="8" t="s">
        <v>113</v>
      </c>
      <c r="D169" s="8" t="s">
        <v>235</v>
      </c>
      <c r="E169" s="8" t="s">
        <v>136</v>
      </c>
      <c r="F169" s="4" t="s">
        <v>454</v>
      </c>
      <c r="G169" s="8" t="s">
        <v>20</v>
      </c>
      <c r="H169" s="8" t="s">
        <v>324</v>
      </c>
      <c r="I169" s="8"/>
      <c r="J169" s="47">
        <v>0.1</v>
      </c>
      <c r="K169" s="8">
        <v>100</v>
      </c>
    </row>
    <row r="170" spans="1:11" x14ac:dyDescent="0.35">
      <c r="A170" s="8">
        <v>169</v>
      </c>
      <c r="B170" s="8" t="s">
        <v>565</v>
      </c>
      <c r="C170" s="8" t="s">
        <v>113</v>
      </c>
      <c r="D170" s="8" t="s">
        <v>235</v>
      </c>
      <c r="E170" s="8" t="s">
        <v>136</v>
      </c>
      <c r="F170" s="4" t="s">
        <v>455</v>
      </c>
      <c r="G170" s="8" t="s">
        <v>20</v>
      </c>
      <c r="H170" s="8" t="s">
        <v>324</v>
      </c>
      <c r="I170" s="8"/>
      <c r="J170" s="47">
        <v>0.1</v>
      </c>
      <c r="K170" s="8">
        <v>100</v>
      </c>
    </row>
    <row r="171" spans="1:11" x14ac:dyDescent="0.35">
      <c r="A171" s="8">
        <v>170</v>
      </c>
      <c r="B171" s="8" t="s">
        <v>566</v>
      </c>
      <c r="C171" s="8" t="s">
        <v>113</v>
      </c>
      <c r="D171" s="8" t="s">
        <v>235</v>
      </c>
      <c r="E171" s="8" t="s">
        <v>136</v>
      </c>
      <c r="F171" s="4" t="s">
        <v>456</v>
      </c>
      <c r="G171" s="8" t="s">
        <v>20</v>
      </c>
      <c r="H171" s="8" t="s">
        <v>324</v>
      </c>
      <c r="I171" s="8"/>
      <c r="J171" s="47">
        <v>0.1</v>
      </c>
      <c r="K171" s="8">
        <v>100</v>
      </c>
    </row>
    <row r="172" spans="1:11" x14ac:dyDescent="0.35">
      <c r="A172" s="8">
        <v>171</v>
      </c>
      <c r="B172" s="8" t="s">
        <v>567</v>
      </c>
      <c r="C172" s="8" t="s">
        <v>113</v>
      </c>
      <c r="D172" s="8" t="s">
        <v>235</v>
      </c>
      <c r="E172" s="8" t="s">
        <v>136</v>
      </c>
      <c r="F172" s="4" t="s">
        <v>325</v>
      </c>
      <c r="G172" s="8" t="s">
        <v>20</v>
      </c>
      <c r="H172" s="8" t="s">
        <v>324</v>
      </c>
      <c r="I172" s="8"/>
      <c r="J172" s="47">
        <v>0.1</v>
      </c>
      <c r="K172" s="8">
        <v>100</v>
      </c>
    </row>
    <row r="173" spans="1:11" x14ac:dyDescent="0.35">
      <c r="A173" s="8">
        <v>172</v>
      </c>
      <c r="B173" s="8" t="s">
        <v>568</v>
      </c>
      <c r="C173" s="8" t="s">
        <v>113</v>
      </c>
      <c r="D173" s="8" t="s">
        <v>235</v>
      </c>
      <c r="E173" s="8" t="s">
        <v>136</v>
      </c>
      <c r="F173" s="4" t="s">
        <v>326</v>
      </c>
      <c r="G173" s="8" t="s">
        <v>20</v>
      </c>
      <c r="H173" s="8" t="s">
        <v>324</v>
      </c>
      <c r="I173" s="8"/>
      <c r="J173" s="47">
        <v>0.1</v>
      </c>
      <c r="K173" s="8">
        <v>100</v>
      </c>
    </row>
    <row r="174" spans="1:11" x14ac:dyDescent="0.35">
      <c r="A174" s="8">
        <v>173</v>
      </c>
      <c r="B174" s="8" t="s">
        <v>569</v>
      </c>
      <c r="C174" s="8" t="s">
        <v>113</v>
      </c>
      <c r="D174" s="8" t="s">
        <v>235</v>
      </c>
      <c r="E174" s="8" t="s">
        <v>136</v>
      </c>
      <c r="F174" s="4" t="s">
        <v>327</v>
      </c>
      <c r="G174" s="8" t="s">
        <v>20</v>
      </c>
      <c r="H174" s="8" t="s">
        <v>324</v>
      </c>
      <c r="I174" s="8"/>
      <c r="J174" s="47">
        <v>0.1</v>
      </c>
      <c r="K174" s="8">
        <v>100</v>
      </c>
    </row>
    <row r="175" spans="1:11" x14ac:dyDescent="0.35">
      <c r="A175" s="8">
        <v>174</v>
      </c>
      <c r="B175" s="8" t="s">
        <v>570</v>
      </c>
      <c r="C175" s="8" t="s">
        <v>113</v>
      </c>
      <c r="D175" s="8" t="s">
        <v>235</v>
      </c>
      <c r="E175" s="8" t="s">
        <v>136</v>
      </c>
      <c r="F175" s="4" t="s">
        <v>328</v>
      </c>
      <c r="G175" s="8" t="s">
        <v>20</v>
      </c>
      <c r="H175" s="8" t="s">
        <v>324</v>
      </c>
      <c r="I175" s="8"/>
      <c r="J175" s="47">
        <v>0.1</v>
      </c>
      <c r="K175" s="8">
        <v>100</v>
      </c>
    </row>
    <row r="176" spans="1:11" x14ac:dyDescent="0.35">
      <c r="A176" s="8">
        <v>175</v>
      </c>
      <c r="B176" s="8" t="s">
        <v>571</v>
      </c>
      <c r="C176" s="8" t="s">
        <v>113</v>
      </c>
      <c r="D176" s="8" t="s">
        <v>235</v>
      </c>
      <c r="E176" s="8" t="s">
        <v>136</v>
      </c>
      <c r="F176" s="4" t="s">
        <v>329</v>
      </c>
      <c r="G176" s="8" t="s">
        <v>20</v>
      </c>
      <c r="H176" s="8" t="s">
        <v>324</v>
      </c>
      <c r="I176" s="8"/>
      <c r="J176" s="47">
        <v>0.1</v>
      </c>
      <c r="K176" s="8">
        <v>100</v>
      </c>
    </row>
    <row r="177" spans="1:11" x14ac:dyDescent="0.35">
      <c r="A177" s="8">
        <v>176</v>
      </c>
      <c r="B177" s="8" t="s">
        <v>572</v>
      </c>
      <c r="C177" s="8" t="s">
        <v>113</v>
      </c>
      <c r="D177" s="8" t="s">
        <v>235</v>
      </c>
      <c r="E177" s="8" t="s">
        <v>136</v>
      </c>
      <c r="F177" s="4" t="s">
        <v>330</v>
      </c>
      <c r="G177" s="8" t="s">
        <v>20</v>
      </c>
      <c r="H177" s="8" t="s">
        <v>324</v>
      </c>
      <c r="I177" s="8"/>
      <c r="J177" s="47">
        <v>0.1</v>
      </c>
      <c r="K177" s="8">
        <v>100</v>
      </c>
    </row>
    <row r="178" spans="1:11" x14ac:dyDescent="0.35">
      <c r="A178" s="8">
        <v>177</v>
      </c>
      <c r="B178" s="8" t="s">
        <v>573</v>
      </c>
      <c r="C178" s="8" t="s">
        <v>113</v>
      </c>
      <c r="D178" s="8" t="s">
        <v>235</v>
      </c>
      <c r="E178" s="8" t="s">
        <v>136</v>
      </c>
      <c r="F178" s="4" t="s">
        <v>331</v>
      </c>
      <c r="G178" s="8" t="s">
        <v>20</v>
      </c>
      <c r="H178" s="8" t="s">
        <v>324</v>
      </c>
      <c r="I178" s="8"/>
      <c r="J178" s="47">
        <v>0.1</v>
      </c>
      <c r="K178" s="8">
        <v>100</v>
      </c>
    </row>
    <row r="179" spans="1:11" x14ac:dyDescent="0.35">
      <c r="A179" s="8">
        <v>178</v>
      </c>
      <c r="B179" s="8" t="s">
        <v>574</v>
      </c>
      <c r="C179" s="8" t="s">
        <v>113</v>
      </c>
      <c r="D179" s="8" t="s">
        <v>235</v>
      </c>
      <c r="E179" s="8" t="s">
        <v>136</v>
      </c>
      <c r="F179" s="4" t="s">
        <v>332</v>
      </c>
      <c r="G179" s="8" t="s">
        <v>20</v>
      </c>
      <c r="H179" s="8" t="s">
        <v>324</v>
      </c>
      <c r="I179" s="8"/>
      <c r="J179" s="47">
        <v>0.1</v>
      </c>
      <c r="K179" s="8">
        <v>100</v>
      </c>
    </row>
    <row r="180" spans="1:11" x14ac:dyDescent="0.35">
      <c r="A180" s="8">
        <v>179</v>
      </c>
      <c r="B180" s="8" t="s">
        <v>575</v>
      </c>
      <c r="C180" s="8" t="s">
        <v>113</v>
      </c>
      <c r="D180" s="8" t="s">
        <v>235</v>
      </c>
      <c r="E180" s="8" t="s">
        <v>136</v>
      </c>
      <c r="F180" s="4" t="s">
        <v>333</v>
      </c>
      <c r="G180" s="8" t="s">
        <v>20</v>
      </c>
      <c r="H180" s="8" t="s">
        <v>324</v>
      </c>
      <c r="I180" s="8"/>
      <c r="J180" s="47">
        <v>0.1</v>
      </c>
      <c r="K180" s="8">
        <v>100</v>
      </c>
    </row>
    <row r="181" spans="1:11" x14ac:dyDescent="0.35">
      <c r="A181" s="8">
        <v>180</v>
      </c>
      <c r="B181" s="8" t="s">
        <v>576</v>
      </c>
      <c r="C181" s="8" t="s">
        <v>113</v>
      </c>
      <c r="D181" s="8" t="s">
        <v>235</v>
      </c>
      <c r="E181" s="8" t="s">
        <v>136</v>
      </c>
      <c r="F181" s="4" t="s">
        <v>334</v>
      </c>
      <c r="G181" s="8" t="s">
        <v>20</v>
      </c>
      <c r="H181" s="8" t="s">
        <v>324</v>
      </c>
      <c r="I181" s="8"/>
      <c r="J181" s="47">
        <v>0.1</v>
      </c>
      <c r="K181" s="8">
        <v>100</v>
      </c>
    </row>
    <row r="182" spans="1:11" x14ac:dyDescent="0.35">
      <c r="A182" s="8">
        <v>181</v>
      </c>
      <c r="B182" s="8" t="s">
        <v>577</v>
      </c>
      <c r="C182" s="8" t="s">
        <v>113</v>
      </c>
      <c r="D182" s="8" t="s">
        <v>235</v>
      </c>
      <c r="E182" s="8" t="s">
        <v>136</v>
      </c>
      <c r="F182" s="4" t="s">
        <v>335</v>
      </c>
      <c r="G182" s="8" t="s">
        <v>20</v>
      </c>
      <c r="H182" s="8" t="s">
        <v>324</v>
      </c>
      <c r="I182" s="8"/>
      <c r="J182" s="47">
        <v>0.1</v>
      </c>
      <c r="K182" s="8">
        <v>100</v>
      </c>
    </row>
    <row r="183" spans="1:11" x14ac:dyDescent="0.35">
      <c r="A183" s="8">
        <v>182</v>
      </c>
      <c r="B183" s="8" t="s">
        <v>578</v>
      </c>
      <c r="C183" s="8" t="s">
        <v>113</v>
      </c>
      <c r="D183" s="8" t="s">
        <v>235</v>
      </c>
      <c r="E183" s="8" t="s">
        <v>136</v>
      </c>
      <c r="F183" s="4" t="s">
        <v>336</v>
      </c>
      <c r="G183" s="8" t="s">
        <v>20</v>
      </c>
      <c r="H183" s="8" t="s">
        <v>324</v>
      </c>
      <c r="I183" s="8"/>
      <c r="J183" s="47">
        <v>0.1</v>
      </c>
      <c r="K183" s="8">
        <v>100</v>
      </c>
    </row>
    <row r="184" spans="1:11" x14ac:dyDescent="0.35">
      <c r="A184" s="8">
        <v>183</v>
      </c>
      <c r="B184" s="8" t="s">
        <v>579</v>
      </c>
      <c r="C184" s="8" t="s">
        <v>113</v>
      </c>
      <c r="D184" s="8" t="s">
        <v>235</v>
      </c>
      <c r="E184" s="8" t="s">
        <v>136</v>
      </c>
      <c r="F184" s="4" t="s">
        <v>337</v>
      </c>
      <c r="G184" s="8" t="s">
        <v>20</v>
      </c>
      <c r="H184" s="8" t="s">
        <v>324</v>
      </c>
      <c r="I184" s="8"/>
      <c r="J184" s="47">
        <v>0.1</v>
      </c>
      <c r="K184" s="8">
        <v>100</v>
      </c>
    </row>
    <row r="185" spans="1:11" x14ac:dyDescent="0.35">
      <c r="A185" s="8">
        <v>184</v>
      </c>
      <c r="B185" s="8" t="s">
        <v>580</v>
      </c>
      <c r="C185" s="8" t="s">
        <v>113</v>
      </c>
      <c r="D185" s="8" t="s">
        <v>235</v>
      </c>
      <c r="E185" s="8" t="s">
        <v>136</v>
      </c>
      <c r="F185" s="4" t="s">
        <v>338</v>
      </c>
      <c r="G185" s="8" t="s">
        <v>20</v>
      </c>
      <c r="H185" s="8" t="s">
        <v>324</v>
      </c>
      <c r="I185" s="8"/>
      <c r="J185" s="47">
        <v>0.1</v>
      </c>
      <c r="K185" s="8">
        <v>100</v>
      </c>
    </row>
    <row r="186" spans="1:11" x14ac:dyDescent="0.35">
      <c r="A186" s="8">
        <v>185</v>
      </c>
      <c r="B186" s="8" t="s">
        <v>581</v>
      </c>
      <c r="C186" s="8" t="s">
        <v>113</v>
      </c>
      <c r="D186" s="8" t="s">
        <v>235</v>
      </c>
      <c r="E186" s="8" t="s">
        <v>136</v>
      </c>
      <c r="F186" s="4" t="s">
        <v>339</v>
      </c>
      <c r="G186" s="8" t="s">
        <v>20</v>
      </c>
      <c r="H186" s="8" t="s">
        <v>324</v>
      </c>
      <c r="I186" s="8"/>
      <c r="J186" s="47">
        <v>0.1</v>
      </c>
      <c r="K186" s="8">
        <v>100</v>
      </c>
    </row>
    <row r="187" spans="1:11" x14ac:dyDescent="0.35">
      <c r="A187" s="8">
        <v>186</v>
      </c>
      <c r="B187" s="8" t="s">
        <v>582</v>
      </c>
      <c r="C187" s="8" t="s">
        <v>113</v>
      </c>
      <c r="D187" s="8" t="s">
        <v>235</v>
      </c>
      <c r="E187" s="8" t="s">
        <v>136</v>
      </c>
      <c r="F187" s="4" t="s">
        <v>340</v>
      </c>
      <c r="G187" s="8" t="s">
        <v>20</v>
      </c>
      <c r="H187" s="8" t="s">
        <v>324</v>
      </c>
      <c r="I187" s="8"/>
      <c r="J187" s="47">
        <v>0.1</v>
      </c>
      <c r="K187" s="8">
        <v>100</v>
      </c>
    </row>
    <row r="188" spans="1:11" x14ac:dyDescent="0.35">
      <c r="A188" s="8">
        <v>187</v>
      </c>
      <c r="B188" s="8" t="s">
        <v>583</v>
      </c>
      <c r="C188" s="8" t="s">
        <v>113</v>
      </c>
      <c r="D188" s="8" t="s">
        <v>235</v>
      </c>
      <c r="E188" s="8" t="s">
        <v>136</v>
      </c>
      <c r="F188" s="4" t="s">
        <v>341</v>
      </c>
      <c r="G188" s="8" t="s">
        <v>20</v>
      </c>
      <c r="H188" s="8" t="s">
        <v>324</v>
      </c>
      <c r="I188" s="8"/>
      <c r="J188" s="47">
        <v>0.1</v>
      </c>
      <c r="K188" s="8">
        <v>100</v>
      </c>
    </row>
    <row r="189" spans="1:11" x14ac:dyDescent="0.35">
      <c r="A189" s="8">
        <v>188</v>
      </c>
      <c r="B189" s="8" t="s">
        <v>584</v>
      </c>
      <c r="C189" s="8" t="s">
        <v>113</v>
      </c>
      <c r="D189" s="8" t="s">
        <v>235</v>
      </c>
      <c r="E189" s="8" t="s">
        <v>136</v>
      </c>
      <c r="F189" s="4" t="s">
        <v>342</v>
      </c>
      <c r="G189" s="8" t="s">
        <v>20</v>
      </c>
      <c r="H189" s="8" t="s">
        <v>324</v>
      </c>
      <c r="I189" s="8"/>
      <c r="J189" s="47">
        <v>0.1</v>
      </c>
      <c r="K189" s="8">
        <v>100</v>
      </c>
    </row>
    <row r="190" spans="1:11" x14ac:dyDescent="0.35">
      <c r="A190" s="8">
        <v>189</v>
      </c>
      <c r="B190" s="8" t="s">
        <v>585</v>
      </c>
      <c r="C190" s="8" t="s">
        <v>113</v>
      </c>
      <c r="D190" s="8" t="s">
        <v>235</v>
      </c>
      <c r="E190" s="8" t="s">
        <v>136</v>
      </c>
      <c r="F190" s="4" t="s">
        <v>343</v>
      </c>
      <c r="G190" s="8" t="s">
        <v>20</v>
      </c>
      <c r="H190" s="8" t="s">
        <v>324</v>
      </c>
      <c r="I190" s="8"/>
      <c r="J190" s="47">
        <v>0.1</v>
      </c>
      <c r="K190" s="8">
        <v>100</v>
      </c>
    </row>
    <row r="191" spans="1:11" x14ac:dyDescent="0.35">
      <c r="A191" s="8">
        <v>190</v>
      </c>
      <c r="B191" s="8" t="s">
        <v>586</v>
      </c>
      <c r="C191" s="8" t="s">
        <v>113</v>
      </c>
      <c r="D191" s="8" t="s">
        <v>235</v>
      </c>
      <c r="E191" s="8" t="s">
        <v>136</v>
      </c>
      <c r="F191" s="4" t="s">
        <v>344</v>
      </c>
      <c r="G191" s="8" t="s">
        <v>20</v>
      </c>
      <c r="H191" s="8" t="s">
        <v>324</v>
      </c>
      <c r="I191" s="8"/>
      <c r="J191" s="47">
        <v>0.1</v>
      </c>
      <c r="K191" s="8">
        <v>100</v>
      </c>
    </row>
    <row r="192" spans="1:11" x14ac:dyDescent="0.35">
      <c r="A192" s="8">
        <v>191</v>
      </c>
      <c r="B192" s="8" t="s">
        <v>587</v>
      </c>
      <c r="C192" s="8" t="s">
        <v>113</v>
      </c>
      <c r="D192" s="8" t="s">
        <v>235</v>
      </c>
      <c r="E192" s="8" t="s">
        <v>136</v>
      </c>
      <c r="F192" s="4" t="s">
        <v>345</v>
      </c>
      <c r="G192" s="8" t="s">
        <v>20</v>
      </c>
      <c r="H192" s="8" t="s">
        <v>324</v>
      </c>
      <c r="I192" s="8"/>
      <c r="J192" s="47">
        <v>0.1</v>
      </c>
      <c r="K192" s="8">
        <v>100</v>
      </c>
    </row>
    <row r="193" spans="1:11" x14ac:dyDescent="0.35">
      <c r="A193" s="8">
        <v>192</v>
      </c>
      <c r="B193" s="8" t="s">
        <v>588</v>
      </c>
      <c r="C193" s="8" t="s">
        <v>113</v>
      </c>
      <c r="D193" s="8" t="s">
        <v>235</v>
      </c>
      <c r="E193" s="8" t="s">
        <v>136</v>
      </c>
      <c r="F193" s="4" t="s">
        <v>346</v>
      </c>
      <c r="G193" s="8" t="s">
        <v>20</v>
      </c>
      <c r="H193" s="8" t="s">
        <v>324</v>
      </c>
      <c r="I193" s="8"/>
      <c r="J193" s="47">
        <v>0.1</v>
      </c>
      <c r="K193" s="8">
        <v>100</v>
      </c>
    </row>
    <row r="194" spans="1:11" x14ac:dyDescent="0.35">
      <c r="A194" s="8">
        <v>193</v>
      </c>
      <c r="B194" s="8" t="s">
        <v>589</v>
      </c>
      <c r="C194" s="8" t="s">
        <v>113</v>
      </c>
      <c r="D194" s="8" t="s">
        <v>235</v>
      </c>
      <c r="E194" s="8" t="s">
        <v>136</v>
      </c>
      <c r="F194" s="4" t="s">
        <v>347</v>
      </c>
      <c r="G194" s="8" t="s">
        <v>20</v>
      </c>
      <c r="H194" s="8" t="s">
        <v>324</v>
      </c>
      <c r="I194" s="8"/>
      <c r="J194" s="47">
        <v>0.1</v>
      </c>
      <c r="K194" s="8">
        <v>100</v>
      </c>
    </row>
    <row r="195" spans="1:11" x14ac:dyDescent="0.35">
      <c r="A195" s="8">
        <v>194</v>
      </c>
      <c r="B195" s="8" t="s">
        <v>590</v>
      </c>
      <c r="C195" s="8" t="s">
        <v>113</v>
      </c>
      <c r="D195" s="8" t="s">
        <v>235</v>
      </c>
      <c r="E195" s="8" t="s">
        <v>136</v>
      </c>
      <c r="F195" s="4" t="s">
        <v>348</v>
      </c>
      <c r="G195" s="8" t="s">
        <v>20</v>
      </c>
      <c r="H195" s="8" t="s">
        <v>324</v>
      </c>
      <c r="I195" s="8"/>
      <c r="J195" s="47">
        <v>0.1</v>
      </c>
      <c r="K195" s="8">
        <v>100</v>
      </c>
    </row>
    <row r="196" spans="1:11" x14ac:dyDescent="0.35">
      <c r="A196" s="8">
        <v>195</v>
      </c>
      <c r="B196" s="8" t="s">
        <v>591</v>
      </c>
      <c r="C196" s="8" t="s">
        <v>113</v>
      </c>
      <c r="D196" s="8" t="s">
        <v>235</v>
      </c>
      <c r="E196" s="8" t="s">
        <v>136</v>
      </c>
      <c r="F196" s="4" t="s">
        <v>349</v>
      </c>
      <c r="G196" s="8" t="s">
        <v>20</v>
      </c>
      <c r="H196" s="8" t="s">
        <v>324</v>
      </c>
      <c r="I196" s="8"/>
      <c r="J196" s="47">
        <v>0.1</v>
      </c>
      <c r="K196" s="8">
        <v>100</v>
      </c>
    </row>
    <row r="197" spans="1:11" x14ac:dyDescent="0.35">
      <c r="A197" s="8">
        <v>196</v>
      </c>
      <c r="B197" s="8" t="s">
        <v>592</v>
      </c>
      <c r="C197" s="8" t="s">
        <v>113</v>
      </c>
      <c r="D197" s="8" t="s">
        <v>235</v>
      </c>
      <c r="E197" s="8" t="s">
        <v>136</v>
      </c>
      <c r="F197" s="4" t="s">
        <v>350</v>
      </c>
      <c r="G197" s="8" t="s">
        <v>20</v>
      </c>
      <c r="H197" s="8" t="s">
        <v>324</v>
      </c>
      <c r="I197" s="8"/>
      <c r="J197" s="47">
        <v>0.1</v>
      </c>
      <c r="K197" s="8">
        <v>100</v>
      </c>
    </row>
    <row r="198" spans="1:11" x14ac:dyDescent="0.35">
      <c r="A198" s="8">
        <v>197</v>
      </c>
      <c r="B198" s="8" t="s">
        <v>593</v>
      </c>
      <c r="C198" s="8" t="s">
        <v>113</v>
      </c>
      <c r="D198" s="8" t="s">
        <v>235</v>
      </c>
      <c r="E198" s="8" t="s">
        <v>136</v>
      </c>
      <c r="F198" s="4" t="s">
        <v>351</v>
      </c>
      <c r="G198" s="8" t="s">
        <v>20</v>
      </c>
      <c r="H198" s="8" t="s">
        <v>324</v>
      </c>
      <c r="I198" s="8"/>
      <c r="J198" s="47">
        <v>0.1</v>
      </c>
      <c r="K198" s="8">
        <v>100</v>
      </c>
    </row>
    <row r="199" spans="1:11" x14ac:dyDescent="0.35">
      <c r="A199" s="8">
        <v>198</v>
      </c>
      <c r="B199" s="8" t="s">
        <v>594</v>
      </c>
      <c r="C199" s="8" t="s">
        <v>113</v>
      </c>
      <c r="D199" s="8" t="s">
        <v>235</v>
      </c>
      <c r="E199" s="8" t="s">
        <v>136</v>
      </c>
      <c r="F199" s="4" t="s">
        <v>352</v>
      </c>
      <c r="G199" s="8" t="s">
        <v>20</v>
      </c>
      <c r="H199" s="8" t="s">
        <v>324</v>
      </c>
      <c r="I199" s="8"/>
      <c r="J199" s="47">
        <v>0.1</v>
      </c>
      <c r="K199" s="8">
        <v>100</v>
      </c>
    </row>
    <row r="200" spans="1:11" x14ac:dyDescent="0.35">
      <c r="A200" s="8">
        <v>199</v>
      </c>
      <c r="B200" s="8" t="s">
        <v>595</v>
      </c>
      <c r="C200" s="8" t="s">
        <v>113</v>
      </c>
      <c r="D200" s="8" t="s">
        <v>235</v>
      </c>
      <c r="E200" s="8" t="s">
        <v>136</v>
      </c>
      <c r="F200" s="4" t="s">
        <v>353</v>
      </c>
      <c r="G200" s="8" t="s">
        <v>20</v>
      </c>
      <c r="H200" s="8" t="s">
        <v>324</v>
      </c>
      <c r="I200" s="8"/>
      <c r="J200" s="47">
        <v>0.1</v>
      </c>
      <c r="K200" s="8">
        <v>100</v>
      </c>
    </row>
    <row r="201" spans="1:11" x14ac:dyDescent="0.35">
      <c r="A201" s="8">
        <v>200</v>
      </c>
      <c r="B201" s="8" t="s">
        <v>596</v>
      </c>
      <c r="C201" s="8" t="s">
        <v>113</v>
      </c>
      <c r="D201" s="8" t="s">
        <v>235</v>
      </c>
      <c r="E201" s="8" t="s">
        <v>136</v>
      </c>
      <c r="F201" s="4" t="s">
        <v>354</v>
      </c>
      <c r="G201" s="8" t="s">
        <v>20</v>
      </c>
      <c r="H201" s="8" t="s">
        <v>324</v>
      </c>
      <c r="I201" s="8"/>
      <c r="J201" s="47">
        <v>0.1</v>
      </c>
      <c r="K201" s="8">
        <v>100</v>
      </c>
    </row>
    <row r="202" spans="1:11" x14ac:dyDescent="0.35">
      <c r="A202" s="8">
        <v>201</v>
      </c>
      <c r="B202" s="8" t="s">
        <v>597</v>
      </c>
      <c r="C202" s="8" t="s">
        <v>113</v>
      </c>
      <c r="D202" s="8" t="s">
        <v>235</v>
      </c>
      <c r="E202" s="8" t="s">
        <v>136</v>
      </c>
      <c r="F202" s="4" t="s">
        <v>355</v>
      </c>
      <c r="G202" s="8" t="s">
        <v>20</v>
      </c>
      <c r="H202" s="8" t="s">
        <v>324</v>
      </c>
      <c r="I202" s="8"/>
      <c r="J202" s="47">
        <v>0.1</v>
      </c>
      <c r="K202" s="8">
        <v>100</v>
      </c>
    </row>
    <row r="203" spans="1:11" x14ac:dyDescent="0.35">
      <c r="A203" s="8">
        <v>202</v>
      </c>
      <c r="B203" s="8" t="s">
        <v>598</v>
      </c>
      <c r="C203" s="8" t="s">
        <v>113</v>
      </c>
      <c r="D203" s="8" t="s">
        <v>235</v>
      </c>
      <c r="E203" s="8" t="s">
        <v>136</v>
      </c>
      <c r="F203" s="4" t="s">
        <v>356</v>
      </c>
      <c r="G203" s="8" t="s">
        <v>20</v>
      </c>
      <c r="H203" s="8" t="s">
        <v>324</v>
      </c>
      <c r="I203" s="8"/>
      <c r="J203" s="47">
        <v>0.1</v>
      </c>
      <c r="K203" s="8">
        <v>100</v>
      </c>
    </row>
    <row r="204" spans="1:11" x14ac:dyDescent="0.35">
      <c r="A204" s="8">
        <v>203</v>
      </c>
      <c r="B204" s="8" t="s">
        <v>599</v>
      </c>
      <c r="C204" s="8" t="s">
        <v>113</v>
      </c>
      <c r="D204" s="8" t="s">
        <v>235</v>
      </c>
      <c r="E204" s="8" t="s">
        <v>136</v>
      </c>
      <c r="F204" s="4" t="s">
        <v>357</v>
      </c>
      <c r="G204" s="8" t="s">
        <v>20</v>
      </c>
      <c r="H204" s="8" t="s">
        <v>324</v>
      </c>
      <c r="I204" s="8"/>
      <c r="J204" s="47">
        <v>0.1</v>
      </c>
      <c r="K204" s="8">
        <v>100</v>
      </c>
    </row>
    <row r="205" spans="1:11" x14ac:dyDescent="0.35">
      <c r="A205" s="8">
        <v>204</v>
      </c>
      <c r="B205" s="8" t="s">
        <v>600</v>
      </c>
      <c r="C205" s="8" t="s">
        <v>113</v>
      </c>
      <c r="D205" s="8" t="s">
        <v>235</v>
      </c>
      <c r="E205" s="8" t="s">
        <v>136</v>
      </c>
      <c r="F205" s="4" t="s">
        <v>358</v>
      </c>
      <c r="G205" s="8" t="s">
        <v>20</v>
      </c>
      <c r="H205" s="8" t="s">
        <v>324</v>
      </c>
      <c r="I205" s="8"/>
      <c r="J205" s="47">
        <v>0.1</v>
      </c>
      <c r="K205" s="8">
        <v>100</v>
      </c>
    </row>
    <row r="206" spans="1:11" x14ac:dyDescent="0.35">
      <c r="A206" s="8">
        <v>205</v>
      </c>
      <c r="B206" s="8" t="s">
        <v>601</v>
      </c>
      <c r="C206" s="8" t="s">
        <v>113</v>
      </c>
      <c r="D206" s="8" t="s">
        <v>235</v>
      </c>
      <c r="E206" s="8" t="s">
        <v>136</v>
      </c>
      <c r="F206" s="4" t="s">
        <v>359</v>
      </c>
      <c r="G206" s="8" t="s">
        <v>20</v>
      </c>
      <c r="H206" s="8" t="s">
        <v>324</v>
      </c>
      <c r="I206" s="8"/>
      <c r="J206" s="47">
        <v>0.1</v>
      </c>
      <c r="K206" s="8">
        <v>100</v>
      </c>
    </row>
    <row r="207" spans="1:11" x14ac:dyDescent="0.35">
      <c r="A207" s="8">
        <v>206</v>
      </c>
      <c r="B207" s="8" t="s">
        <v>602</v>
      </c>
      <c r="C207" s="8" t="s">
        <v>113</v>
      </c>
      <c r="D207" s="8" t="s">
        <v>235</v>
      </c>
      <c r="E207" s="8" t="s">
        <v>136</v>
      </c>
      <c r="F207" s="4" t="s">
        <v>360</v>
      </c>
      <c r="G207" s="8" t="s">
        <v>20</v>
      </c>
      <c r="H207" s="8" t="s">
        <v>324</v>
      </c>
      <c r="I207" s="8"/>
      <c r="J207" s="47">
        <v>0.1</v>
      </c>
      <c r="K207" s="8">
        <v>100</v>
      </c>
    </row>
    <row r="208" spans="1:11" x14ac:dyDescent="0.35">
      <c r="A208" s="8">
        <v>207</v>
      </c>
      <c r="B208" s="8" t="s">
        <v>603</v>
      </c>
      <c r="C208" s="8" t="s">
        <v>113</v>
      </c>
      <c r="D208" s="8" t="s">
        <v>235</v>
      </c>
      <c r="E208" s="8" t="s">
        <v>136</v>
      </c>
      <c r="F208" s="4" t="s">
        <v>361</v>
      </c>
      <c r="G208" s="8" t="s">
        <v>20</v>
      </c>
      <c r="H208" s="8" t="s">
        <v>324</v>
      </c>
      <c r="I208" s="8"/>
      <c r="J208" s="47">
        <v>0.1</v>
      </c>
      <c r="K208" s="8">
        <v>100</v>
      </c>
    </row>
    <row r="209" spans="1:11" x14ac:dyDescent="0.35">
      <c r="A209" s="8">
        <v>208</v>
      </c>
      <c r="B209" s="8" t="s">
        <v>604</v>
      </c>
      <c r="C209" s="8" t="s">
        <v>113</v>
      </c>
      <c r="D209" s="8" t="s">
        <v>235</v>
      </c>
      <c r="E209" s="8" t="s">
        <v>136</v>
      </c>
      <c r="F209" s="4" t="s">
        <v>362</v>
      </c>
      <c r="G209" s="8" t="s">
        <v>20</v>
      </c>
      <c r="H209" s="8" t="s">
        <v>324</v>
      </c>
      <c r="I209" s="8"/>
      <c r="J209" s="47">
        <v>0.1</v>
      </c>
      <c r="K209" s="8">
        <v>100</v>
      </c>
    </row>
    <row r="210" spans="1:11" x14ac:dyDescent="0.35">
      <c r="A210" s="8">
        <v>209</v>
      </c>
      <c r="B210" s="8" t="s">
        <v>605</v>
      </c>
      <c r="C210" s="8" t="s">
        <v>113</v>
      </c>
      <c r="D210" s="8" t="s">
        <v>235</v>
      </c>
      <c r="E210" s="8" t="s">
        <v>136</v>
      </c>
      <c r="F210" s="4" t="s">
        <v>363</v>
      </c>
      <c r="G210" s="8" t="s">
        <v>20</v>
      </c>
      <c r="H210" s="8" t="s">
        <v>324</v>
      </c>
      <c r="I210" s="8"/>
      <c r="J210" s="47">
        <v>0.1</v>
      </c>
      <c r="K210" s="8">
        <v>100</v>
      </c>
    </row>
    <row r="211" spans="1:11" x14ac:dyDescent="0.35">
      <c r="A211" s="8">
        <v>210</v>
      </c>
      <c r="B211" s="8" t="s">
        <v>606</v>
      </c>
      <c r="C211" s="8" t="s">
        <v>113</v>
      </c>
      <c r="D211" s="8" t="s">
        <v>235</v>
      </c>
      <c r="E211" s="8" t="s">
        <v>136</v>
      </c>
      <c r="F211" s="4" t="s">
        <v>364</v>
      </c>
      <c r="G211" s="8" t="s">
        <v>20</v>
      </c>
      <c r="H211" s="8" t="s">
        <v>324</v>
      </c>
      <c r="I211" s="8"/>
      <c r="J211" s="47">
        <v>0.1</v>
      </c>
      <c r="K211" s="8">
        <v>100</v>
      </c>
    </row>
    <row r="212" spans="1:11" x14ac:dyDescent="0.35">
      <c r="A212" s="8">
        <v>211</v>
      </c>
      <c r="B212" s="8" t="s">
        <v>607</v>
      </c>
      <c r="C212" s="8" t="s">
        <v>113</v>
      </c>
      <c r="D212" s="8" t="s">
        <v>235</v>
      </c>
      <c r="E212" s="8" t="s">
        <v>136</v>
      </c>
      <c r="F212" s="4" t="s">
        <v>365</v>
      </c>
      <c r="G212" s="8" t="s">
        <v>20</v>
      </c>
      <c r="H212" s="8" t="s">
        <v>324</v>
      </c>
      <c r="I212" s="8"/>
      <c r="J212" s="47">
        <v>0.1</v>
      </c>
      <c r="K212" s="8">
        <v>100</v>
      </c>
    </row>
    <row r="213" spans="1:11" x14ac:dyDescent="0.35">
      <c r="A213" s="8">
        <v>212</v>
      </c>
      <c r="B213" s="8" t="s">
        <v>608</v>
      </c>
      <c r="C213" s="8" t="s">
        <v>113</v>
      </c>
      <c r="D213" s="8" t="s">
        <v>235</v>
      </c>
      <c r="E213" s="8" t="s">
        <v>136</v>
      </c>
      <c r="F213" s="4" t="s">
        <v>366</v>
      </c>
      <c r="G213" s="8" t="s">
        <v>20</v>
      </c>
      <c r="H213" s="8" t="s">
        <v>324</v>
      </c>
      <c r="I213" s="8"/>
      <c r="J213" s="47">
        <v>0.1</v>
      </c>
      <c r="K213" s="8">
        <v>100</v>
      </c>
    </row>
    <row r="214" spans="1:11" x14ac:dyDescent="0.35">
      <c r="A214" s="8">
        <v>213</v>
      </c>
      <c r="B214" s="8" t="s">
        <v>609</v>
      </c>
      <c r="C214" s="8" t="s">
        <v>113</v>
      </c>
      <c r="D214" s="8" t="s">
        <v>235</v>
      </c>
      <c r="E214" s="8" t="s">
        <v>136</v>
      </c>
      <c r="F214" s="4" t="s">
        <v>367</v>
      </c>
      <c r="G214" s="8" t="s">
        <v>20</v>
      </c>
      <c r="H214" s="8" t="s">
        <v>324</v>
      </c>
      <c r="I214" s="8"/>
      <c r="J214" s="47">
        <v>0.1</v>
      </c>
      <c r="K214" s="8">
        <v>100</v>
      </c>
    </row>
    <row r="215" spans="1:11" x14ac:dyDescent="0.35">
      <c r="A215" s="8">
        <v>214</v>
      </c>
      <c r="B215" s="8" t="s">
        <v>610</v>
      </c>
      <c r="C215" s="8" t="s">
        <v>113</v>
      </c>
      <c r="D215" s="8" t="s">
        <v>235</v>
      </c>
      <c r="E215" s="8" t="s">
        <v>136</v>
      </c>
      <c r="F215" s="4" t="s">
        <v>368</v>
      </c>
      <c r="G215" s="8" t="s">
        <v>20</v>
      </c>
      <c r="H215" s="8" t="s">
        <v>324</v>
      </c>
      <c r="I215" s="8"/>
      <c r="J215" s="47">
        <v>0.1</v>
      </c>
      <c r="K215" s="8">
        <v>100</v>
      </c>
    </row>
    <row r="216" spans="1:11" x14ac:dyDescent="0.35">
      <c r="A216" s="8">
        <v>215</v>
      </c>
      <c r="B216" s="8" t="s">
        <v>611</v>
      </c>
      <c r="C216" s="8" t="s">
        <v>113</v>
      </c>
      <c r="D216" s="8" t="s">
        <v>235</v>
      </c>
      <c r="E216" s="8" t="s">
        <v>136</v>
      </c>
      <c r="F216" s="4" t="s">
        <v>457</v>
      </c>
      <c r="G216" s="8" t="s">
        <v>20</v>
      </c>
      <c r="H216" s="8" t="s">
        <v>324</v>
      </c>
      <c r="I216" s="8"/>
      <c r="J216" s="47">
        <v>0.1</v>
      </c>
      <c r="K216" s="8">
        <v>100</v>
      </c>
    </row>
    <row r="217" spans="1:11" x14ac:dyDescent="0.35">
      <c r="A217" s="8">
        <v>216</v>
      </c>
      <c r="B217" s="8" t="s">
        <v>612</v>
      </c>
      <c r="C217" s="8" t="s">
        <v>113</v>
      </c>
      <c r="D217" s="8" t="s">
        <v>235</v>
      </c>
      <c r="E217" s="8" t="s">
        <v>136</v>
      </c>
      <c r="F217" s="4" t="s">
        <v>458</v>
      </c>
      <c r="G217" s="8" t="s">
        <v>20</v>
      </c>
      <c r="H217" s="8" t="s">
        <v>324</v>
      </c>
      <c r="I217" s="8"/>
      <c r="J217" s="47">
        <v>0.1</v>
      </c>
      <c r="K217" s="8">
        <v>100</v>
      </c>
    </row>
    <row r="218" spans="1:11" x14ac:dyDescent="0.35">
      <c r="A218" s="8">
        <v>217</v>
      </c>
      <c r="B218" s="8" t="s">
        <v>613</v>
      </c>
      <c r="C218" s="8" t="s">
        <v>113</v>
      </c>
      <c r="D218" s="8" t="s">
        <v>235</v>
      </c>
      <c r="E218" s="8" t="s">
        <v>136</v>
      </c>
      <c r="F218" s="4" t="s">
        <v>459</v>
      </c>
      <c r="G218" s="8" t="s">
        <v>20</v>
      </c>
      <c r="H218" s="8" t="s">
        <v>324</v>
      </c>
      <c r="I218" s="8"/>
      <c r="J218" s="47">
        <v>0.1</v>
      </c>
      <c r="K218" s="8">
        <v>100</v>
      </c>
    </row>
    <row r="219" spans="1:11" x14ac:dyDescent="0.35">
      <c r="A219" s="8">
        <v>218</v>
      </c>
      <c r="B219" s="8" t="s">
        <v>614</v>
      </c>
      <c r="C219" s="8" t="s">
        <v>113</v>
      </c>
      <c r="D219" s="8" t="s">
        <v>235</v>
      </c>
      <c r="E219" s="8" t="s">
        <v>136</v>
      </c>
      <c r="F219" s="4" t="s">
        <v>460</v>
      </c>
      <c r="G219" s="8" t="s">
        <v>20</v>
      </c>
      <c r="H219" s="8" t="s">
        <v>324</v>
      </c>
      <c r="I219" s="8"/>
      <c r="J219" s="47">
        <v>0.1</v>
      </c>
      <c r="K219" s="8">
        <v>100</v>
      </c>
    </row>
    <row r="220" spans="1:11" x14ac:dyDescent="0.35">
      <c r="A220" s="8">
        <v>219</v>
      </c>
      <c r="B220" s="8" t="s">
        <v>615</v>
      </c>
      <c r="C220" s="8" t="s">
        <v>113</v>
      </c>
      <c r="D220" s="8" t="s">
        <v>235</v>
      </c>
      <c r="E220" s="8" t="s">
        <v>136</v>
      </c>
      <c r="F220" s="4" t="s">
        <v>461</v>
      </c>
      <c r="G220" s="8" t="s">
        <v>20</v>
      </c>
      <c r="H220" s="8" t="s">
        <v>324</v>
      </c>
      <c r="I220" s="8"/>
      <c r="J220" s="47">
        <v>0.1</v>
      </c>
      <c r="K220" s="8">
        <v>100</v>
      </c>
    </row>
    <row r="221" spans="1:11" x14ac:dyDescent="0.35">
      <c r="A221" s="8">
        <v>220</v>
      </c>
      <c r="B221" s="8" t="s">
        <v>616</v>
      </c>
      <c r="C221" s="8" t="s">
        <v>113</v>
      </c>
      <c r="D221" s="8" t="s">
        <v>235</v>
      </c>
      <c r="E221" s="8" t="s">
        <v>136</v>
      </c>
      <c r="F221" s="4" t="s">
        <v>462</v>
      </c>
      <c r="G221" s="8" t="s">
        <v>20</v>
      </c>
      <c r="H221" s="8" t="s">
        <v>324</v>
      </c>
      <c r="I221" s="8"/>
      <c r="J221" s="47">
        <v>0.1</v>
      </c>
      <c r="K221" s="8">
        <v>100</v>
      </c>
    </row>
    <row r="222" spans="1:11" x14ac:dyDescent="0.35">
      <c r="A222" s="8">
        <v>221</v>
      </c>
      <c r="B222" s="8" t="s">
        <v>617</v>
      </c>
      <c r="C222" s="8" t="s">
        <v>113</v>
      </c>
      <c r="D222" s="8" t="s">
        <v>235</v>
      </c>
      <c r="E222" s="8" t="s">
        <v>136</v>
      </c>
      <c r="F222" s="4" t="s">
        <v>463</v>
      </c>
      <c r="G222" s="8" t="s">
        <v>20</v>
      </c>
      <c r="H222" s="8" t="s">
        <v>324</v>
      </c>
      <c r="I222" s="8"/>
      <c r="J222" s="47">
        <v>0.1</v>
      </c>
      <c r="K222" s="8">
        <v>100</v>
      </c>
    </row>
    <row r="223" spans="1:11" x14ac:dyDescent="0.35">
      <c r="A223" s="8">
        <v>222</v>
      </c>
      <c r="B223" s="8" t="s">
        <v>618</v>
      </c>
      <c r="C223" s="8" t="s">
        <v>113</v>
      </c>
      <c r="D223" s="8" t="s">
        <v>235</v>
      </c>
      <c r="E223" s="8" t="s">
        <v>136</v>
      </c>
      <c r="F223" s="4" t="s">
        <v>464</v>
      </c>
      <c r="G223" s="8" t="s">
        <v>20</v>
      </c>
      <c r="H223" s="8" t="s">
        <v>324</v>
      </c>
      <c r="I223" s="8"/>
      <c r="J223" s="47">
        <v>0.1</v>
      </c>
      <c r="K223" s="8">
        <v>100</v>
      </c>
    </row>
    <row r="224" spans="1:11" x14ac:dyDescent="0.35">
      <c r="A224" s="8">
        <v>223</v>
      </c>
      <c r="B224" s="8" t="s">
        <v>619</v>
      </c>
      <c r="C224" s="8" t="s">
        <v>113</v>
      </c>
      <c r="D224" s="8" t="s">
        <v>235</v>
      </c>
      <c r="E224" s="8" t="s">
        <v>136</v>
      </c>
      <c r="F224" s="4" t="s">
        <v>465</v>
      </c>
      <c r="G224" s="8" t="s">
        <v>20</v>
      </c>
      <c r="H224" s="8" t="s">
        <v>324</v>
      </c>
      <c r="I224" s="8"/>
      <c r="J224" s="47">
        <v>0.1</v>
      </c>
      <c r="K224" s="8">
        <v>100</v>
      </c>
    </row>
    <row r="225" spans="1:11" x14ac:dyDescent="0.35">
      <c r="A225" s="8">
        <v>224</v>
      </c>
      <c r="B225" s="8" t="s">
        <v>620</v>
      </c>
      <c r="C225" s="8" t="s">
        <v>113</v>
      </c>
      <c r="D225" s="8" t="s">
        <v>235</v>
      </c>
      <c r="E225" s="8" t="s">
        <v>136</v>
      </c>
      <c r="F225" s="4" t="s">
        <v>466</v>
      </c>
      <c r="G225" s="8" t="s">
        <v>20</v>
      </c>
      <c r="H225" s="8" t="s">
        <v>324</v>
      </c>
      <c r="I225" s="8"/>
      <c r="J225" s="47">
        <v>0.1</v>
      </c>
      <c r="K225" s="8">
        <v>100</v>
      </c>
    </row>
    <row r="226" spans="1:11" x14ac:dyDescent="0.35">
      <c r="A226" s="8">
        <v>225</v>
      </c>
      <c r="B226" s="8" t="s">
        <v>621</v>
      </c>
      <c r="C226" s="8" t="s">
        <v>113</v>
      </c>
      <c r="D226" s="8" t="s">
        <v>235</v>
      </c>
      <c r="E226" s="8" t="s">
        <v>136</v>
      </c>
      <c r="F226" s="4" t="s">
        <v>467</v>
      </c>
      <c r="G226" s="8" t="s">
        <v>20</v>
      </c>
      <c r="H226" s="8" t="s">
        <v>324</v>
      </c>
      <c r="I226" s="8"/>
      <c r="J226" s="47">
        <v>0.1</v>
      </c>
      <c r="K226" s="8">
        <v>100</v>
      </c>
    </row>
    <row r="227" spans="1:11" x14ac:dyDescent="0.35">
      <c r="A227" s="8">
        <v>226</v>
      </c>
      <c r="B227" s="8" t="s">
        <v>622</v>
      </c>
      <c r="C227" s="8" t="s">
        <v>113</v>
      </c>
      <c r="D227" s="8" t="s">
        <v>235</v>
      </c>
      <c r="E227" s="8" t="s">
        <v>136</v>
      </c>
      <c r="F227" s="4" t="s">
        <v>457</v>
      </c>
      <c r="G227" s="8" t="s">
        <v>20</v>
      </c>
      <c r="H227" s="8" t="s">
        <v>324</v>
      </c>
      <c r="I227" s="8"/>
      <c r="J227" s="47">
        <v>0.1</v>
      </c>
      <c r="K227" s="8">
        <v>100</v>
      </c>
    </row>
    <row r="228" spans="1:11" x14ac:dyDescent="0.35">
      <c r="A228" s="8">
        <v>227</v>
      </c>
      <c r="B228" s="8" t="s">
        <v>623</v>
      </c>
      <c r="C228" s="8" t="s">
        <v>113</v>
      </c>
      <c r="D228" s="8" t="s">
        <v>235</v>
      </c>
      <c r="E228" s="8" t="s">
        <v>136</v>
      </c>
      <c r="F228" s="4" t="s">
        <v>458</v>
      </c>
      <c r="G228" s="8" t="s">
        <v>20</v>
      </c>
      <c r="H228" s="8" t="s">
        <v>324</v>
      </c>
      <c r="I228" s="8"/>
      <c r="J228" s="47">
        <v>0.1</v>
      </c>
      <c r="K228" s="8">
        <v>100</v>
      </c>
    </row>
    <row r="229" spans="1:11" x14ac:dyDescent="0.35">
      <c r="A229" s="8">
        <v>228</v>
      </c>
      <c r="B229" s="8" t="s">
        <v>624</v>
      </c>
      <c r="C229" s="8" t="s">
        <v>113</v>
      </c>
      <c r="D229" s="8" t="s">
        <v>235</v>
      </c>
      <c r="E229" s="8" t="s">
        <v>136</v>
      </c>
      <c r="F229" s="4" t="s">
        <v>459</v>
      </c>
      <c r="G229" s="8" t="s">
        <v>20</v>
      </c>
      <c r="H229" s="8" t="s">
        <v>324</v>
      </c>
      <c r="I229" s="8"/>
      <c r="J229" s="47">
        <v>0.1</v>
      </c>
      <c r="K229" s="8">
        <v>100</v>
      </c>
    </row>
    <row r="230" spans="1:11" x14ac:dyDescent="0.35">
      <c r="A230" s="8">
        <v>229</v>
      </c>
      <c r="B230" s="8" t="s">
        <v>625</v>
      </c>
      <c r="C230" s="8" t="s">
        <v>113</v>
      </c>
      <c r="D230" s="8" t="s">
        <v>235</v>
      </c>
      <c r="E230" s="8" t="s">
        <v>136</v>
      </c>
      <c r="F230" s="4" t="s">
        <v>460</v>
      </c>
      <c r="G230" s="8" t="s">
        <v>20</v>
      </c>
      <c r="H230" s="8" t="s">
        <v>324</v>
      </c>
      <c r="I230" s="8"/>
      <c r="J230" s="47">
        <v>0.1</v>
      </c>
      <c r="K230" s="8">
        <v>100</v>
      </c>
    </row>
    <row r="231" spans="1:11" x14ac:dyDescent="0.35">
      <c r="A231" s="8">
        <v>230</v>
      </c>
      <c r="B231" s="8" t="s">
        <v>626</v>
      </c>
      <c r="C231" s="8" t="s">
        <v>113</v>
      </c>
      <c r="D231" s="8" t="s">
        <v>235</v>
      </c>
      <c r="E231" s="8" t="s">
        <v>136</v>
      </c>
      <c r="F231" s="4" t="s">
        <v>461</v>
      </c>
      <c r="G231" s="8" t="s">
        <v>20</v>
      </c>
      <c r="H231" s="8" t="s">
        <v>324</v>
      </c>
      <c r="I231" s="8"/>
      <c r="J231" s="47">
        <v>0.1</v>
      </c>
      <c r="K231" s="8">
        <v>100</v>
      </c>
    </row>
    <row r="232" spans="1:11" x14ac:dyDescent="0.35">
      <c r="A232" s="8">
        <v>231</v>
      </c>
      <c r="B232" s="8" t="s">
        <v>627</v>
      </c>
      <c r="C232" s="8" t="s">
        <v>113</v>
      </c>
      <c r="D232" s="8" t="s">
        <v>235</v>
      </c>
      <c r="E232" s="8" t="s">
        <v>136</v>
      </c>
      <c r="F232" s="4" t="s">
        <v>462</v>
      </c>
      <c r="G232" s="8" t="s">
        <v>20</v>
      </c>
      <c r="H232" s="8" t="s">
        <v>324</v>
      </c>
      <c r="I232" s="8"/>
      <c r="J232" s="47">
        <v>0.1</v>
      </c>
      <c r="K232" s="8">
        <v>100</v>
      </c>
    </row>
    <row r="233" spans="1:11" x14ac:dyDescent="0.35">
      <c r="A233" s="8">
        <v>232</v>
      </c>
      <c r="B233" s="8" t="s">
        <v>628</v>
      </c>
      <c r="C233" s="8" t="s">
        <v>113</v>
      </c>
      <c r="D233" s="8" t="s">
        <v>235</v>
      </c>
      <c r="E233" s="8" t="s">
        <v>136</v>
      </c>
      <c r="F233" s="4" t="s">
        <v>463</v>
      </c>
      <c r="G233" s="8" t="s">
        <v>20</v>
      </c>
      <c r="H233" s="8" t="s">
        <v>324</v>
      </c>
      <c r="I233" s="8"/>
      <c r="J233" s="47">
        <v>0.1</v>
      </c>
      <c r="K233" s="8">
        <v>100</v>
      </c>
    </row>
    <row r="234" spans="1:11" x14ac:dyDescent="0.35">
      <c r="A234" s="8">
        <v>233</v>
      </c>
      <c r="B234" s="8" t="s">
        <v>629</v>
      </c>
      <c r="C234" s="8" t="s">
        <v>113</v>
      </c>
      <c r="D234" s="8" t="s">
        <v>235</v>
      </c>
      <c r="E234" s="8" t="s">
        <v>136</v>
      </c>
      <c r="F234" s="4" t="s">
        <v>464</v>
      </c>
      <c r="G234" s="8" t="s">
        <v>20</v>
      </c>
      <c r="H234" s="8" t="s">
        <v>324</v>
      </c>
      <c r="I234" s="8"/>
      <c r="J234" s="47">
        <v>0.1</v>
      </c>
      <c r="K234" s="8">
        <v>100</v>
      </c>
    </row>
    <row r="235" spans="1:11" x14ac:dyDescent="0.35">
      <c r="A235" s="8">
        <v>234</v>
      </c>
      <c r="B235" s="8" t="s">
        <v>630</v>
      </c>
      <c r="C235" s="8" t="s">
        <v>113</v>
      </c>
      <c r="D235" s="8" t="s">
        <v>235</v>
      </c>
      <c r="E235" s="8" t="s">
        <v>136</v>
      </c>
      <c r="F235" s="4" t="s">
        <v>465</v>
      </c>
      <c r="G235" s="8" t="s">
        <v>20</v>
      </c>
      <c r="H235" s="8" t="s">
        <v>324</v>
      </c>
      <c r="I235" s="8"/>
      <c r="J235" s="47">
        <v>0.1</v>
      </c>
      <c r="K235" s="8">
        <v>100</v>
      </c>
    </row>
    <row r="236" spans="1:11" x14ac:dyDescent="0.35">
      <c r="A236" s="8">
        <v>235</v>
      </c>
      <c r="B236" s="8" t="s">
        <v>631</v>
      </c>
      <c r="C236" s="8" t="s">
        <v>113</v>
      </c>
      <c r="D236" s="8" t="s">
        <v>235</v>
      </c>
      <c r="E236" s="8" t="s">
        <v>136</v>
      </c>
      <c r="F236" s="4" t="s">
        <v>466</v>
      </c>
      <c r="G236" s="8" t="s">
        <v>20</v>
      </c>
      <c r="H236" s="8" t="s">
        <v>324</v>
      </c>
      <c r="I236" s="8"/>
      <c r="J236" s="47">
        <v>0.1</v>
      </c>
      <c r="K236" s="8">
        <v>100</v>
      </c>
    </row>
    <row r="237" spans="1:11" x14ac:dyDescent="0.35">
      <c r="A237" s="8">
        <v>236</v>
      </c>
      <c r="B237" s="8" t="s">
        <v>632</v>
      </c>
      <c r="C237" s="8" t="s">
        <v>113</v>
      </c>
      <c r="D237" s="8" t="s">
        <v>235</v>
      </c>
      <c r="E237" s="8" t="s">
        <v>136</v>
      </c>
      <c r="F237" s="4" t="s">
        <v>467</v>
      </c>
      <c r="G237" s="8" t="s">
        <v>20</v>
      </c>
      <c r="H237" s="8" t="s">
        <v>324</v>
      </c>
      <c r="I237" s="8"/>
      <c r="J237" s="47">
        <v>0.1</v>
      </c>
      <c r="K237" s="8">
        <v>100</v>
      </c>
    </row>
    <row r="238" spans="1:11" x14ac:dyDescent="0.35">
      <c r="A238" s="8">
        <v>237</v>
      </c>
      <c r="B238" s="8" t="s">
        <v>633</v>
      </c>
      <c r="C238" s="8" t="s">
        <v>113</v>
      </c>
      <c r="D238" s="8" t="s">
        <v>235</v>
      </c>
      <c r="E238" s="8" t="s">
        <v>136</v>
      </c>
      <c r="F238" s="4" t="s">
        <v>457</v>
      </c>
      <c r="G238" s="8" t="s">
        <v>20</v>
      </c>
      <c r="H238" s="8" t="s">
        <v>324</v>
      </c>
      <c r="I238" s="8"/>
      <c r="J238" s="47">
        <v>0.1</v>
      </c>
      <c r="K238" s="8">
        <v>100</v>
      </c>
    </row>
    <row r="239" spans="1:11" x14ac:dyDescent="0.35">
      <c r="A239" s="8">
        <v>238</v>
      </c>
      <c r="B239" s="8" t="s">
        <v>634</v>
      </c>
      <c r="C239" s="8" t="s">
        <v>113</v>
      </c>
      <c r="D239" s="8" t="s">
        <v>235</v>
      </c>
      <c r="E239" s="8" t="s">
        <v>136</v>
      </c>
      <c r="F239" s="4" t="s">
        <v>458</v>
      </c>
      <c r="G239" s="8" t="s">
        <v>20</v>
      </c>
      <c r="H239" s="8" t="s">
        <v>324</v>
      </c>
      <c r="I239" s="8"/>
      <c r="J239" s="47">
        <v>0.1</v>
      </c>
      <c r="K239" s="8">
        <v>100</v>
      </c>
    </row>
    <row r="240" spans="1:11" x14ac:dyDescent="0.35">
      <c r="A240" s="8">
        <v>239</v>
      </c>
      <c r="B240" s="8" t="s">
        <v>635</v>
      </c>
      <c r="C240" s="8" t="s">
        <v>113</v>
      </c>
      <c r="D240" s="8" t="s">
        <v>235</v>
      </c>
      <c r="E240" s="8" t="s">
        <v>136</v>
      </c>
      <c r="F240" s="4" t="s">
        <v>459</v>
      </c>
      <c r="G240" s="8" t="s">
        <v>20</v>
      </c>
      <c r="H240" s="8" t="s">
        <v>324</v>
      </c>
      <c r="I240" s="8"/>
      <c r="J240" s="47">
        <v>0.1</v>
      </c>
      <c r="K240" s="8">
        <v>100</v>
      </c>
    </row>
    <row r="241" spans="1:11" x14ac:dyDescent="0.35">
      <c r="A241" s="8">
        <v>240</v>
      </c>
      <c r="B241" s="8" t="s">
        <v>636</v>
      </c>
      <c r="C241" s="8" t="s">
        <v>113</v>
      </c>
      <c r="D241" s="8" t="s">
        <v>235</v>
      </c>
      <c r="E241" s="8" t="s">
        <v>136</v>
      </c>
      <c r="F241" s="4" t="s">
        <v>460</v>
      </c>
      <c r="G241" s="8" t="s">
        <v>20</v>
      </c>
      <c r="H241" s="8" t="s">
        <v>324</v>
      </c>
      <c r="I241" s="8"/>
      <c r="J241" s="47">
        <v>0.1</v>
      </c>
      <c r="K241" s="8">
        <v>100</v>
      </c>
    </row>
    <row r="242" spans="1:11" x14ac:dyDescent="0.35">
      <c r="A242" s="8">
        <v>241</v>
      </c>
      <c r="B242" s="8" t="s">
        <v>637</v>
      </c>
      <c r="C242" s="8" t="s">
        <v>113</v>
      </c>
      <c r="D242" s="8" t="s">
        <v>235</v>
      </c>
      <c r="E242" s="8" t="s">
        <v>136</v>
      </c>
      <c r="F242" s="4" t="s">
        <v>461</v>
      </c>
      <c r="G242" s="8" t="s">
        <v>20</v>
      </c>
      <c r="H242" s="8" t="s">
        <v>324</v>
      </c>
      <c r="I242" s="8"/>
      <c r="J242" s="47">
        <v>0.1</v>
      </c>
      <c r="K242" s="8">
        <v>100</v>
      </c>
    </row>
    <row r="243" spans="1:11" x14ac:dyDescent="0.35">
      <c r="A243" s="8">
        <v>242</v>
      </c>
      <c r="B243" s="8" t="s">
        <v>638</v>
      </c>
      <c r="C243" s="8" t="s">
        <v>113</v>
      </c>
      <c r="D243" s="8" t="s">
        <v>235</v>
      </c>
      <c r="E243" s="8" t="s">
        <v>136</v>
      </c>
      <c r="F243" s="4" t="s">
        <v>462</v>
      </c>
      <c r="G243" s="8" t="s">
        <v>20</v>
      </c>
      <c r="H243" s="8" t="s">
        <v>324</v>
      </c>
      <c r="I243" s="8"/>
      <c r="J243" s="47">
        <v>0.1</v>
      </c>
      <c r="K243" s="8">
        <v>100</v>
      </c>
    </row>
    <row r="244" spans="1:11" x14ac:dyDescent="0.35">
      <c r="A244" s="8">
        <v>243</v>
      </c>
      <c r="B244" s="8" t="s">
        <v>639</v>
      </c>
      <c r="C244" s="8" t="s">
        <v>113</v>
      </c>
      <c r="D244" s="8" t="s">
        <v>235</v>
      </c>
      <c r="E244" s="8" t="s">
        <v>136</v>
      </c>
      <c r="F244" s="4" t="s">
        <v>463</v>
      </c>
      <c r="G244" s="8" t="s">
        <v>20</v>
      </c>
      <c r="H244" s="8" t="s">
        <v>324</v>
      </c>
      <c r="I244" s="8"/>
      <c r="J244" s="47">
        <v>0.1</v>
      </c>
      <c r="K244" s="8">
        <v>100</v>
      </c>
    </row>
    <row r="245" spans="1:11" x14ac:dyDescent="0.35">
      <c r="A245" s="8">
        <v>244</v>
      </c>
      <c r="B245" s="8" t="s">
        <v>640</v>
      </c>
      <c r="C245" s="8" t="s">
        <v>113</v>
      </c>
      <c r="D245" s="8" t="s">
        <v>235</v>
      </c>
      <c r="E245" s="8" t="s">
        <v>136</v>
      </c>
      <c r="F245" s="4" t="s">
        <v>464</v>
      </c>
      <c r="G245" s="8" t="s">
        <v>20</v>
      </c>
      <c r="H245" s="8" t="s">
        <v>324</v>
      </c>
      <c r="I245" s="8"/>
      <c r="J245" s="47">
        <v>0.1</v>
      </c>
      <c r="K245" s="8">
        <v>100</v>
      </c>
    </row>
    <row r="246" spans="1:11" x14ac:dyDescent="0.35">
      <c r="A246" s="8">
        <v>245</v>
      </c>
      <c r="B246" s="8" t="s">
        <v>641</v>
      </c>
      <c r="C246" s="8" t="s">
        <v>113</v>
      </c>
      <c r="D246" s="8" t="s">
        <v>235</v>
      </c>
      <c r="E246" s="8" t="s">
        <v>136</v>
      </c>
      <c r="F246" s="4" t="s">
        <v>465</v>
      </c>
      <c r="G246" s="8" t="s">
        <v>20</v>
      </c>
      <c r="H246" s="8" t="s">
        <v>324</v>
      </c>
      <c r="I246" s="8"/>
      <c r="J246" s="47">
        <v>0.1</v>
      </c>
      <c r="K246" s="8">
        <v>100</v>
      </c>
    </row>
    <row r="247" spans="1:11" x14ac:dyDescent="0.35">
      <c r="A247" s="8">
        <v>246</v>
      </c>
      <c r="B247" s="8" t="s">
        <v>642</v>
      </c>
      <c r="C247" s="8" t="s">
        <v>113</v>
      </c>
      <c r="D247" s="8" t="s">
        <v>235</v>
      </c>
      <c r="E247" s="8" t="s">
        <v>136</v>
      </c>
      <c r="F247" s="4" t="s">
        <v>466</v>
      </c>
      <c r="G247" s="8" t="s">
        <v>20</v>
      </c>
      <c r="H247" s="8" t="s">
        <v>324</v>
      </c>
      <c r="I247" s="8"/>
      <c r="J247" s="47">
        <v>0.1</v>
      </c>
      <c r="K247" s="8">
        <v>100</v>
      </c>
    </row>
    <row r="248" spans="1:11" x14ac:dyDescent="0.35">
      <c r="A248" s="8">
        <v>247</v>
      </c>
      <c r="B248" s="8" t="s">
        <v>643</v>
      </c>
      <c r="C248" s="8" t="s">
        <v>113</v>
      </c>
      <c r="D248" s="8" t="s">
        <v>235</v>
      </c>
      <c r="E248" s="8" t="s">
        <v>136</v>
      </c>
      <c r="F248" s="4" t="s">
        <v>467</v>
      </c>
      <c r="G248" s="8" t="s">
        <v>20</v>
      </c>
      <c r="H248" s="8" t="s">
        <v>324</v>
      </c>
      <c r="I248" s="8"/>
      <c r="J248" s="47">
        <v>0.1</v>
      </c>
      <c r="K248" s="8">
        <v>100</v>
      </c>
    </row>
    <row r="249" spans="1:11" x14ac:dyDescent="0.35">
      <c r="A249" s="8">
        <v>248</v>
      </c>
      <c r="B249" s="8" t="s">
        <v>644</v>
      </c>
      <c r="C249" s="8" t="s">
        <v>113</v>
      </c>
      <c r="D249" s="8" t="s">
        <v>235</v>
      </c>
      <c r="E249" s="8" t="s">
        <v>136</v>
      </c>
      <c r="F249" s="4" t="s">
        <v>457</v>
      </c>
      <c r="G249" s="8" t="s">
        <v>20</v>
      </c>
      <c r="H249" s="8" t="s">
        <v>324</v>
      </c>
      <c r="I249" s="8"/>
      <c r="J249" s="47">
        <v>0.1</v>
      </c>
      <c r="K249" s="8">
        <v>100</v>
      </c>
    </row>
    <row r="250" spans="1:11" x14ac:dyDescent="0.35">
      <c r="A250" s="8">
        <v>249</v>
      </c>
      <c r="B250" s="8" t="s">
        <v>645</v>
      </c>
      <c r="C250" s="8" t="s">
        <v>113</v>
      </c>
      <c r="D250" s="8" t="s">
        <v>235</v>
      </c>
      <c r="E250" s="8" t="s">
        <v>136</v>
      </c>
      <c r="F250" s="4" t="s">
        <v>458</v>
      </c>
      <c r="G250" s="8" t="s">
        <v>20</v>
      </c>
      <c r="H250" s="8" t="s">
        <v>324</v>
      </c>
      <c r="I250" s="8"/>
      <c r="J250" s="47">
        <v>0.1</v>
      </c>
      <c r="K250" s="8">
        <v>100</v>
      </c>
    </row>
    <row r="251" spans="1:11" x14ac:dyDescent="0.35">
      <c r="A251" s="8">
        <v>250</v>
      </c>
      <c r="B251" s="8" t="s">
        <v>646</v>
      </c>
      <c r="C251" s="8" t="s">
        <v>113</v>
      </c>
      <c r="D251" s="8" t="s">
        <v>235</v>
      </c>
      <c r="E251" s="8" t="s">
        <v>136</v>
      </c>
      <c r="F251" s="4" t="s">
        <v>459</v>
      </c>
      <c r="G251" s="8" t="s">
        <v>20</v>
      </c>
      <c r="H251" s="8" t="s">
        <v>324</v>
      </c>
      <c r="I251" s="8"/>
      <c r="J251" s="47">
        <v>0.1</v>
      </c>
      <c r="K251" s="8">
        <v>100</v>
      </c>
    </row>
    <row r="252" spans="1:11" x14ac:dyDescent="0.35">
      <c r="A252" s="8">
        <v>251</v>
      </c>
      <c r="B252" s="8" t="s">
        <v>647</v>
      </c>
      <c r="C252" s="8" t="s">
        <v>113</v>
      </c>
      <c r="D252" s="8" t="s">
        <v>235</v>
      </c>
      <c r="E252" s="8" t="s">
        <v>136</v>
      </c>
      <c r="F252" s="4" t="s">
        <v>460</v>
      </c>
      <c r="G252" s="8" t="s">
        <v>20</v>
      </c>
      <c r="H252" s="8" t="s">
        <v>324</v>
      </c>
      <c r="I252" s="8"/>
      <c r="J252" s="47">
        <v>0.1</v>
      </c>
      <c r="K252" s="8">
        <v>100</v>
      </c>
    </row>
    <row r="253" spans="1:11" x14ac:dyDescent="0.35">
      <c r="A253" s="8">
        <v>252</v>
      </c>
      <c r="B253" s="8" t="s">
        <v>648</v>
      </c>
      <c r="C253" s="8" t="s">
        <v>113</v>
      </c>
      <c r="D253" s="8" t="s">
        <v>235</v>
      </c>
      <c r="E253" s="8" t="s">
        <v>136</v>
      </c>
      <c r="F253" s="4" t="s">
        <v>461</v>
      </c>
      <c r="G253" s="8" t="s">
        <v>20</v>
      </c>
      <c r="H253" s="8" t="s">
        <v>324</v>
      </c>
      <c r="I253" s="8"/>
      <c r="J253" s="47">
        <v>0.1</v>
      </c>
      <c r="K253" s="8">
        <v>100</v>
      </c>
    </row>
    <row r="254" spans="1:11" x14ac:dyDescent="0.35">
      <c r="A254" s="8">
        <v>253</v>
      </c>
      <c r="B254" s="8" t="s">
        <v>649</v>
      </c>
      <c r="C254" s="8" t="s">
        <v>113</v>
      </c>
      <c r="D254" s="8" t="s">
        <v>235</v>
      </c>
      <c r="E254" s="8" t="s">
        <v>136</v>
      </c>
      <c r="F254" s="4" t="s">
        <v>462</v>
      </c>
      <c r="G254" s="8" t="s">
        <v>20</v>
      </c>
      <c r="H254" s="8" t="s">
        <v>324</v>
      </c>
      <c r="I254" s="8"/>
      <c r="J254" s="47">
        <v>0.1</v>
      </c>
      <c r="K254" s="8">
        <v>100</v>
      </c>
    </row>
    <row r="255" spans="1:11" x14ac:dyDescent="0.35">
      <c r="A255" s="8">
        <v>254</v>
      </c>
      <c r="B255" s="8" t="s">
        <v>650</v>
      </c>
      <c r="C255" s="8" t="s">
        <v>113</v>
      </c>
      <c r="D255" s="8" t="s">
        <v>235</v>
      </c>
      <c r="E255" s="8" t="s">
        <v>136</v>
      </c>
      <c r="F255" s="4" t="s">
        <v>463</v>
      </c>
      <c r="G255" s="8" t="s">
        <v>20</v>
      </c>
      <c r="H255" s="8" t="s">
        <v>324</v>
      </c>
      <c r="I255" s="8"/>
      <c r="J255" s="47">
        <v>0.1</v>
      </c>
      <c r="K255" s="8">
        <v>100</v>
      </c>
    </row>
    <row r="256" spans="1:11" x14ac:dyDescent="0.35">
      <c r="A256" s="8">
        <v>255</v>
      </c>
      <c r="B256" s="8" t="s">
        <v>651</v>
      </c>
      <c r="C256" s="8" t="s">
        <v>113</v>
      </c>
      <c r="D256" s="8" t="s">
        <v>235</v>
      </c>
      <c r="E256" s="8" t="s">
        <v>136</v>
      </c>
      <c r="F256" s="4" t="s">
        <v>464</v>
      </c>
      <c r="G256" s="8" t="s">
        <v>20</v>
      </c>
      <c r="H256" s="8" t="s">
        <v>324</v>
      </c>
      <c r="I256" s="8"/>
      <c r="J256" s="47">
        <v>0.1</v>
      </c>
      <c r="K256" s="8">
        <v>100</v>
      </c>
    </row>
    <row r="257" spans="1:11" x14ac:dyDescent="0.35">
      <c r="A257" s="8">
        <v>256</v>
      </c>
      <c r="B257" s="8" t="s">
        <v>652</v>
      </c>
      <c r="C257" s="8" t="s">
        <v>113</v>
      </c>
      <c r="D257" s="8" t="s">
        <v>235</v>
      </c>
      <c r="E257" s="8" t="s">
        <v>136</v>
      </c>
      <c r="F257" s="4" t="s">
        <v>465</v>
      </c>
      <c r="G257" s="8" t="s">
        <v>20</v>
      </c>
      <c r="H257" s="8" t="s">
        <v>324</v>
      </c>
      <c r="I257" s="8"/>
      <c r="J257" s="47">
        <v>0.1</v>
      </c>
      <c r="K257" s="8">
        <v>100</v>
      </c>
    </row>
    <row r="258" spans="1:11" x14ac:dyDescent="0.35">
      <c r="A258" s="8">
        <v>257</v>
      </c>
      <c r="B258" s="8" t="s">
        <v>653</v>
      </c>
      <c r="C258" s="8" t="s">
        <v>113</v>
      </c>
      <c r="D258" s="8" t="s">
        <v>235</v>
      </c>
      <c r="E258" s="8" t="s">
        <v>136</v>
      </c>
      <c r="F258" s="4" t="s">
        <v>466</v>
      </c>
      <c r="G258" s="8" t="s">
        <v>20</v>
      </c>
      <c r="H258" s="8" t="s">
        <v>324</v>
      </c>
      <c r="I258" s="8"/>
      <c r="J258" s="47">
        <v>0.1</v>
      </c>
      <c r="K258" s="8">
        <v>100</v>
      </c>
    </row>
    <row r="259" spans="1:11" x14ac:dyDescent="0.35">
      <c r="A259" s="8">
        <v>258</v>
      </c>
      <c r="B259" s="8" t="s">
        <v>654</v>
      </c>
      <c r="C259" s="8" t="s">
        <v>113</v>
      </c>
      <c r="D259" s="8" t="s">
        <v>235</v>
      </c>
      <c r="E259" s="8" t="s">
        <v>136</v>
      </c>
      <c r="F259" s="4" t="s">
        <v>467</v>
      </c>
      <c r="G259" s="8" t="s">
        <v>20</v>
      </c>
      <c r="H259" s="8" t="s">
        <v>324</v>
      </c>
      <c r="I259" s="8"/>
      <c r="J259" s="47">
        <v>0.1</v>
      </c>
      <c r="K259" s="8">
        <v>100</v>
      </c>
    </row>
    <row r="260" spans="1:11" x14ac:dyDescent="0.35">
      <c r="A260" s="8">
        <v>259</v>
      </c>
      <c r="B260" s="8" t="s">
        <v>655</v>
      </c>
      <c r="C260" s="8" t="s">
        <v>113</v>
      </c>
      <c r="D260" s="8" t="s">
        <v>235</v>
      </c>
      <c r="E260" s="8" t="s">
        <v>136</v>
      </c>
      <c r="F260" s="4" t="s">
        <v>468</v>
      </c>
      <c r="G260" s="8" t="s">
        <v>20</v>
      </c>
      <c r="H260" s="8" t="s">
        <v>324</v>
      </c>
      <c r="I260" s="8"/>
      <c r="J260" s="47">
        <v>0.1</v>
      </c>
      <c r="K260" s="8">
        <v>100</v>
      </c>
    </row>
    <row r="261" spans="1:11" x14ac:dyDescent="0.35">
      <c r="A261" s="8">
        <v>260</v>
      </c>
      <c r="B261" s="8" t="s">
        <v>656</v>
      </c>
      <c r="C261" s="8" t="s">
        <v>113</v>
      </c>
      <c r="D261" s="8" t="s">
        <v>235</v>
      </c>
      <c r="E261" s="8" t="s">
        <v>136</v>
      </c>
      <c r="F261" s="4" t="s">
        <v>469</v>
      </c>
      <c r="G261" s="8" t="s">
        <v>20</v>
      </c>
      <c r="H261" s="8" t="s">
        <v>324</v>
      </c>
      <c r="I261" s="8"/>
      <c r="J261" s="47">
        <v>0.1</v>
      </c>
      <c r="K261" s="8">
        <v>100</v>
      </c>
    </row>
    <row r="262" spans="1:11" x14ac:dyDescent="0.35">
      <c r="A262" s="8">
        <v>261</v>
      </c>
      <c r="B262" s="8" t="s">
        <v>657</v>
      </c>
      <c r="C262" s="8" t="s">
        <v>113</v>
      </c>
      <c r="D262" s="8" t="s">
        <v>235</v>
      </c>
      <c r="E262" s="8" t="s">
        <v>136</v>
      </c>
      <c r="F262" s="4" t="s">
        <v>470</v>
      </c>
      <c r="G262" s="8" t="s">
        <v>20</v>
      </c>
      <c r="H262" s="8" t="s">
        <v>324</v>
      </c>
      <c r="I262" s="8"/>
      <c r="J262" s="47">
        <v>0.1</v>
      </c>
      <c r="K262" s="8">
        <v>100</v>
      </c>
    </row>
    <row r="263" spans="1:11" x14ac:dyDescent="0.35">
      <c r="A263" s="8">
        <v>262</v>
      </c>
      <c r="B263" s="8" t="s">
        <v>658</v>
      </c>
      <c r="C263" s="8" t="s">
        <v>113</v>
      </c>
      <c r="D263" s="8" t="s">
        <v>235</v>
      </c>
      <c r="E263" s="8" t="s">
        <v>136</v>
      </c>
      <c r="F263" s="4" t="s">
        <v>471</v>
      </c>
      <c r="G263" s="8" t="s">
        <v>20</v>
      </c>
      <c r="H263" s="8" t="s">
        <v>324</v>
      </c>
      <c r="I263" s="8"/>
      <c r="J263" s="47">
        <v>0.1</v>
      </c>
      <c r="K263" s="8">
        <v>100</v>
      </c>
    </row>
    <row r="264" spans="1:11" x14ac:dyDescent="0.35">
      <c r="A264" s="8">
        <v>263</v>
      </c>
      <c r="B264" s="8" t="s">
        <v>659</v>
      </c>
      <c r="C264" s="8" t="s">
        <v>113</v>
      </c>
      <c r="D264" s="8" t="s">
        <v>235</v>
      </c>
      <c r="E264" s="8" t="s">
        <v>136</v>
      </c>
      <c r="F264" s="4" t="s">
        <v>472</v>
      </c>
      <c r="G264" s="8" t="s">
        <v>20</v>
      </c>
      <c r="H264" s="8" t="s">
        <v>324</v>
      </c>
      <c r="I264" s="8"/>
      <c r="J264" s="47">
        <v>0.1</v>
      </c>
      <c r="K264" s="8">
        <v>100</v>
      </c>
    </row>
    <row r="265" spans="1:11" x14ac:dyDescent="0.35">
      <c r="A265" s="8">
        <v>264</v>
      </c>
      <c r="B265" s="8" t="s">
        <v>660</v>
      </c>
      <c r="C265" s="8" t="s">
        <v>113</v>
      </c>
      <c r="D265" s="8" t="s">
        <v>235</v>
      </c>
      <c r="E265" s="8" t="s">
        <v>136</v>
      </c>
      <c r="F265" s="4" t="s">
        <v>473</v>
      </c>
      <c r="G265" s="8" t="s">
        <v>20</v>
      </c>
      <c r="H265" s="8" t="s">
        <v>324</v>
      </c>
      <c r="I265" s="8"/>
      <c r="J265" s="47">
        <v>0.1</v>
      </c>
      <c r="K265" s="8">
        <v>100</v>
      </c>
    </row>
    <row r="266" spans="1:11" x14ac:dyDescent="0.35">
      <c r="A266" s="8">
        <v>265</v>
      </c>
      <c r="B266" s="8" t="s">
        <v>661</v>
      </c>
      <c r="C266" s="8" t="s">
        <v>113</v>
      </c>
      <c r="D266" s="8" t="s">
        <v>235</v>
      </c>
      <c r="E266" s="8" t="s">
        <v>136</v>
      </c>
      <c r="F266" s="4" t="s">
        <v>474</v>
      </c>
      <c r="G266" s="8" t="s">
        <v>20</v>
      </c>
      <c r="H266" s="8" t="s">
        <v>324</v>
      </c>
      <c r="I266" s="8"/>
      <c r="J266" s="47">
        <v>0.1</v>
      </c>
      <c r="K266" s="8">
        <v>100</v>
      </c>
    </row>
    <row r="267" spans="1:11" x14ac:dyDescent="0.35">
      <c r="A267" s="8">
        <v>266</v>
      </c>
      <c r="B267" s="8" t="s">
        <v>662</v>
      </c>
      <c r="C267" s="8" t="s">
        <v>113</v>
      </c>
      <c r="D267" s="8" t="s">
        <v>235</v>
      </c>
      <c r="E267" s="8" t="s">
        <v>136</v>
      </c>
      <c r="F267" s="4" t="s">
        <v>475</v>
      </c>
      <c r="G267" s="8" t="s">
        <v>20</v>
      </c>
      <c r="H267" s="8" t="s">
        <v>324</v>
      </c>
      <c r="I267" s="8"/>
      <c r="J267" s="47">
        <v>0.1</v>
      </c>
      <c r="K267" s="8">
        <v>100</v>
      </c>
    </row>
    <row r="268" spans="1:11" x14ac:dyDescent="0.35">
      <c r="A268" s="8">
        <v>267</v>
      </c>
      <c r="B268" s="8" t="s">
        <v>663</v>
      </c>
      <c r="C268" s="8" t="s">
        <v>113</v>
      </c>
      <c r="D268" s="8" t="s">
        <v>235</v>
      </c>
      <c r="E268" s="8" t="s">
        <v>136</v>
      </c>
      <c r="F268" s="4" t="s">
        <v>476</v>
      </c>
      <c r="G268" s="8" t="s">
        <v>20</v>
      </c>
      <c r="H268" s="8" t="s">
        <v>324</v>
      </c>
      <c r="I268" s="8"/>
      <c r="J268" s="47">
        <v>0.1</v>
      </c>
      <c r="K268" s="8">
        <v>100</v>
      </c>
    </row>
    <row r="269" spans="1:11" x14ac:dyDescent="0.35">
      <c r="A269" s="8">
        <v>268</v>
      </c>
      <c r="B269" s="8" t="s">
        <v>664</v>
      </c>
      <c r="C269" s="8" t="s">
        <v>113</v>
      </c>
      <c r="D269" s="8" t="s">
        <v>235</v>
      </c>
      <c r="E269" s="8" t="s">
        <v>136</v>
      </c>
      <c r="F269" s="4" t="s">
        <v>477</v>
      </c>
      <c r="G269" s="8" t="s">
        <v>20</v>
      </c>
      <c r="H269" s="8" t="s">
        <v>324</v>
      </c>
      <c r="I269" s="8"/>
      <c r="J269" s="47">
        <v>0.1</v>
      </c>
      <c r="K269" s="8">
        <v>100</v>
      </c>
    </row>
    <row r="270" spans="1:11" x14ac:dyDescent="0.35">
      <c r="A270" s="8">
        <v>269</v>
      </c>
      <c r="B270" s="8" t="s">
        <v>665</v>
      </c>
      <c r="C270" s="8" t="s">
        <v>113</v>
      </c>
      <c r="D270" s="8" t="s">
        <v>235</v>
      </c>
      <c r="E270" s="8" t="s">
        <v>136</v>
      </c>
      <c r="F270" s="4" t="s">
        <v>478</v>
      </c>
      <c r="G270" s="8" t="s">
        <v>20</v>
      </c>
      <c r="H270" s="8" t="s">
        <v>324</v>
      </c>
      <c r="I270" s="8"/>
      <c r="J270" s="47">
        <v>0.1</v>
      </c>
      <c r="K270" s="8">
        <v>100</v>
      </c>
    </row>
    <row r="271" spans="1:11" x14ac:dyDescent="0.35">
      <c r="A271" s="8">
        <v>270</v>
      </c>
      <c r="B271" s="8" t="s">
        <v>666</v>
      </c>
      <c r="C271" s="8" t="s">
        <v>113</v>
      </c>
      <c r="D271" s="8" t="s">
        <v>235</v>
      </c>
      <c r="E271" s="8" t="s">
        <v>136</v>
      </c>
      <c r="F271" s="4" t="s">
        <v>468</v>
      </c>
      <c r="G271" s="8" t="s">
        <v>20</v>
      </c>
      <c r="H271" s="8" t="s">
        <v>324</v>
      </c>
      <c r="I271" s="8"/>
      <c r="J271" s="47">
        <v>0.1</v>
      </c>
      <c r="K271" s="8">
        <v>100</v>
      </c>
    </row>
    <row r="272" spans="1:11" x14ac:dyDescent="0.35">
      <c r="A272" s="8">
        <v>271</v>
      </c>
      <c r="B272" s="8" t="s">
        <v>667</v>
      </c>
      <c r="C272" s="8" t="s">
        <v>113</v>
      </c>
      <c r="D272" s="8" t="s">
        <v>235</v>
      </c>
      <c r="E272" s="8" t="s">
        <v>136</v>
      </c>
      <c r="F272" s="4" t="s">
        <v>469</v>
      </c>
      <c r="G272" s="8" t="s">
        <v>20</v>
      </c>
      <c r="H272" s="8" t="s">
        <v>324</v>
      </c>
      <c r="I272" s="8"/>
      <c r="J272" s="47">
        <v>0.1</v>
      </c>
      <c r="K272" s="8">
        <v>100</v>
      </c>
    </row>
    <row r="273" spans="1:11" x14ac:dyDescent="0.35">
      <c r="A273" s="8">
        <v>272</v>
      </c>
      <c r="B273" s="8" t="s">
        <v>668</v>
      </c>
      <c r="C273" s="8" t="s">
        <v>113</v>
      </c>
      <c r="D273" s="8" t="s">
        <v>235</v>
      </c>
      <c r="E273" s="8" t="s">
        <v>136</v>
      </c>
      <c r="F273" s="4" t="s">
        <v>470</v>
      </c>
      <c r="G273" s="8" t="s">
        <v>20</v>
      </c>
      <c r="H273" s="8" t="s">
        <v>324</v>
      </c>
      <c r="I273" s="8"/>
      <c r="J273" s="47">
        <v>0.1</v>
      </c>
      <c r="K273" s="8">
        <v>100</v>
      </c>
    </row>
    <row r="274" spans="1:11" x14ac:dyDescent="0.35">
      <c r="A274" s="8">
        <v>273</v>
      </c>
      <c r="B274" s="8" t="s">
        <v>669</v>
      </c>
      <c r="C274" s="8" t="s">
        <v>113</v>
      </c>
      <c r="D274" s="8" t="s">
        <v>235</v>
      </c>
      <c r="E274" s="8" t="s">
        <v>136</v>
      </c>
      <c r="F274" s="4" t="s">
        <v>471</v>
      </c>
      <c r="G274" s="8" t="s">
        <v>20</v>
      </c>
      <c r="H274" s="8" t="s">
        <v>324</v>
      </c>
      <c r="I274" s="8"/>
      <c r="J274" s="47">
        <v>0.1</v>
      </c>
      <c r="K274" s="8">
        <v>100</v>
      </c>
    </row>
    <row r="275" spans="1:11" x14ac:dyDescent="0.35">
      <c r="A275" s="8">
        <v>274</v>
      </c>
      <c r="B275" s="8" t="s">
        <v>670</v>
      </c>
      <c r="C275" s="8" t="s">
        <v>113</v>
      </c>
      <c r="D275" s="8" t="s">
        <v>235</v>
      </c>
      <c r="E275" s="8" t="s">
        <v>136</v>
      </c>
      <c r="F275" s="4" t="s">
        <v>472</v>
      </c>
      <c r="G275" s="8" t="s">
        <v>20</v>
      </c>
      <c r="H275" s="8" t="s">
        <v>324</v>
      </c>
      <c r="I275" s="8"/>
      <c r="J275" s="47">
        <v>0.1</v>
      </c>
      <c r="K275" s="8">
        <v>100</v>
      </c>
    </row>
    <row r="276" spans="1:11" x14ac:dyDescent="0.35">
      <c r="A276" s="8">
        <v>275</v>
      </c>
      <c r="B276" s="8" t="s">
        <v>671</v>
      </c>
      <c r="C276" s="8" t="s">
        <v>113</v>
      </c>
      <c r="D276" s="8" t="s">
        <v>235</v>
      </c>
      <c r="E276" s="8" t="s">
        <v>136</v>
      </c>
      <c r="F276" s="4" t="s">
        <v>473</v>
      </c>
      <c r="G276" s="8" t="s">
        <v>20</v>
      </c>
      <c r="H276" s="8" t="s">
        <v>324</v>
      </c>
      <c r="I276" s="8"/>
      <c r="J276" s="47">
        <v>0.1</v>
      </c>
      <c r="K276" s="8">
        <v>100</v>
      </c>
    </row>
    <row r="277" spans="1:11" x14ac:dyDescent="0.35">
      <c r="A277" s="8">
        <v>276</v>
      </c>
      <c r="B277" s="8" t="s">
        <v>672</v>
      </c>
      <c r="C277" s="8" t="s">
        <v>113</v>
      </c>
      <c r="D277" s="8" t="s">
        <v>235</v>
      </c>
      <c r="E277" s="8" t="s">
        <v>136</v>
      </c>
      <c r="F277" s="4" t="s">
        <v>474</v>
      </c>
      <c r="G277" s="8" t="s">
        <v>20</v>
      </c>
      <c r="H277" s="8" t="s">
        <v>324</v>
      </c>
      <c r="I277" s="8"/>
      <c r="J277" s="47">
        <v>0.1</v>
      </c>
      <c r="K277" s="8">
        <v>100</v>
      </c>
    </row>
    <row r="278" spans="1:11" x14ac:dyDescent="0.35">
      <c r="A278" s="8">
        <v>277</v>
      </c>
      <c r="B278" s="8" t="s">
        <v>673</v>
      </c>
      <c r="C278" s="8" t="s">
        <v>113</v>
      </c>
      <c r="D278" s="8" t="s">
        <v>235</v>
      </c>
      <c r="E278" s="8" t="s">
        <v>136</v>
      </c>
      <c r="F278" s="4" t="s">
        <v>475</v>
      </c>
      <c r="G278" s="8" t="s">
        <v>20</v>
      </c>
      <c r="H278" s="8" t="s">
        <v>324</v>
      </c>
      <c r="I278" s="8"/>
      <c r="J278" s="47">
        <v>0.1</v>
      </c>
      <c r="K278" s="8">
        <v>100</v>
      </c>
    </row>
    <row r="279" spans="1:11" x14ac:dyDescent="0.35">
      <c r="A279" s="8">
        <v>278</v>
      </c>
      <c r="B279" s="8" t="s">
        <v>674</v>
      </c>
      <c r="C279" s="8" t="s">
        <v>113</v>
      </c>
      <c r="D279" s="8" t="s">
        <v>235</v>
      </c>
      <c r="E279" s="8" t="s">
        <v>136</v>
      </c>
      <c r="F279" s="4" t="s">
        <v>476</v>
      </c>
      <c r="G279" s="8" t="s">
        <v>20</v>
      </c>
      <c r="H279" s="8" t="s">
        <v>324</v>
      </c>
      <c r="I279" s="8"/>
      <c r="J279" s="47">
        <v>0.1</v>
      </c>
      <c r="K279" s="8">
        <v>100</v>
      </c>
    </row>
    <row r="280" spans="1:11" x14ac:dyDescent="0.35">
      <c r="A280" s="8">
        <v>279</v>
      </c>
      <c r="B280" s="8" t="s">
        <v>675</v>
      </c>
      <c r="C280" s="8" t="s">
        <v>113</v>
      </c>
      <c r="D280" s="8" t="s">
        <v>235</v>
      </c>
      <c r="E280" s="8" t="s">
        <v>136</v>
      </c>
      <c r="F280" s="4" t="s">
        <v>477</v>
      </c>
      <c r="G280" s="8" t="s">
        <v>20</v>
      </c>
      <c r="H280" s="8" t="s">
        <v>324</v>
      </c>
      <c r="I280" s="8"/>
      <c r="J280" s="47">
        <v>0.1</v>
      </c>
      <c r="K280" s="8">
        <v>100</v>
      </c>
    </row>
    <row r="281" spans="1:11" x14ac:dyDescent="0.35">
      <c r="A281" s="8">
        <v>280</v>
      </c>
      <c r="B281" s="8" t="s">
        <v>676</v>
      </c>
      <c r="C281" s="8" t="s">
        <v>113</v>
      </c>
      <c r="D281" s="8" t="s">
        <v>235</v>
      </c>
      <c r="E281" s="8" t="s">
        <v>136</v>
      </c>
      <c r="F281" s="4" t="s">
        <v>478</v>
      </c>
      <c r="G281" s="8" t="s">
        <v>20</v>
      </c>
      <c r="H281" s="8" t="s">
        <v>324</v>
      </c>
      <c r="I281" s="8"/>
      <c r="J281" s="47">
        <v>0.1</v>
      </c>
      <c r="K281" s="8">
        <v>100</v>
      </c>
    </row>
    <row r="282" spans="1:11" x14ac:dyDescent="0.35">
      <c r="A282" s="8">
        <v>281</v>
      </c>
      <c r="B282" s="8" t="s">
        <v>677</v>
      </c>
      <c r="C282" s="8" t="s">
        <v>113</v>
      </c>
      <c r="D282" s="8" t="s">
        <v>235</v>
      </c>
      <c r="E282" s="8" t="s">
        <v>136</v>
      </c>
      <c r="F282" s="4" t="s">
        <v>468</v>
      </c>
      <c r="G282" s="8" t="s">
        <v>20</v>
      </c>
      <c r="H282" s="8" t="s">
        <v>324</v>
      </c>
      <c r="I282" s="8"/>
      <c r="J282" s="47">
        <v>0.1</v>
      </c>
      <c r="K282" s="8">
        <v>100</v>
      </c>
    </row>
    <row r="283" spans="1:11" x14ac:dyDescent="0.35">
      <c r="A283" s="8">
        <v>282</v>
      </c>
      <c r="B283" s="8" t="s">
        <v>678</v>
      </c>
      <c r="C283" s="8" t="s">
        <v>113</v>
      </c>
      <c r="D283" s="8" t="s">
        <v>235</v>
      </c>
      <c r="E283" s="8" t="s">
        <v>136</v>
      </c>
      <c r="F283" s="4" t="s">
        <v>469</v>
      </c>
      <c r="G283" s="8" t="s">
        <v>20</v>
      </c>
      <c r="H283" s="8" t="s">
        <v>324</v>
      </c>
      <c r="I283" s="8"/>
      <c r="J283" s="47">
        <v>0.1</v>
      </c>
      <c r="K283" s="8">
        <v>100</v>
      </c>
    </row>
    <row r="284" spans="1:11" x14ac:dyDescent="0.35">
      <c r="A284" s="8">
        <v>283</v>
      </c>
      <c r="B284" s="8" t="s">
        <v>679</v>
      </c>
      <c r="C284" s="8" t="s">
        <v>113</v>
      </c>
      <c r="D284" s="8" t="s">
        <v>235</v>
      </c>
      <c r="E284" s="8" t="s">
        <v>136</v>
      </c>
      <c r="F284" s="4" t="s">
        <v>470</v>
      </c>
      <c r="G284" s="8" t="s">
        <v>20</v>
      </c>
      <c r="H284" s="8" t="s">
        <v>324</v>
      </c>
      <c r="I284" s="8"/>
      <c r="J284" s="47">
        <v>0.1</v>
      </c>
      <c r="K284" s="8">
        <v>100</v>
      </c>
    </row>
    <row r="285" spans="1:11" x14ac:dyDescent="0.35">
      <c r="A285" s="8">
        <v>284</v>
      </c>
      <c r="B285" s="8" t="s">
        <v>680</v>
      </c>
      <c r="C285" s="8" t="s">
        <v>113</v>
      </c>
      <c r="D285" s="8" t="s">
        <v>235</v>
      </c>
      <c r="E285" s="8" t="s">
        <v>136</v>
      </c>
      <c r="F285" s="4" t="s">
        <v>471</v>
      </c>
      <c r="G285" s="8" t="s">
        <v>20</v>
      </c>
      <c r="H285" s="8" t="s">
        <v>324</v>
      </c>
      <c r="I285" s="8"/>
      <c r="J285" s="47">
        <v>0.1</v>
      </c>
      <c r="K285" s="8">
        <v>100</v>
      </c>
    </row>
    <row r="286" spans="1:11" x14ac:dyDescent="0.35">
      <c r="A286" s="8">
        <v>285</v>
      </c>
      <c r="B286" s="8" t="s">
        <v>681</v>
      </c>
      <c r="C286" s="8" t="s">
        <v>113</v>
      </c>
      <c r="D286" s="8" t="s">
        <v>235</v>
      </c>
      <c r="E286" s="8" t="s">
        <v>136</v>
      </c>
      <c r="F286" s="4" t="s">
        <v>472</v>
      </c>
      <c r="G286" s="8" t="s">
        <v>20</v>
      </c>
      <c r="H286" s="8" t="s">
        <v>324</v>
      </c>
      <c r="I286" s="8"/>
      <c r="J286" s="47">
        <v>0.1</v>
      </c>
      <c r="K286" s="8">
        <v>100</v>
      </c>
    </row>
    <row r="287" spans="1:11" x14ac:dyDescent="0.35">
      <c r="A287" s="8">
        <v>286</v>
      </c>
      <c r="B287" s="8" t="s">
        <v>682</v>
      </c>
      <c r="C287" s="8" t="s">
        <v>113</v>
      </c>
      <c r="D287" s="8" t="s">
        <v>235</v>
      </c>
      <c r="E287" s="8" t="s">
        <v>136</v>
      </c>
      <c r="F287" s="4" t="s">
        <v>473</v>
      </c>
      <c r="G287" s="8" t="s">
        <v>20</v>
      </c>
      <c r="H287" s="8" t="s">
        <v>324</v>
      </c>
      <c r="I287" s="8"/>
      <c r="J287" s="47">
        <v>0.1</v>
      </c>
      <c r="K287" s="8">
        <v>100</v>
      </c>
    </row>
    <row r="288" spans="1:11" x14ac:dyDescent="0.35">
      <c r="A288" s="8">
        <v>287</v>
      </c>
      <c r="B288" s="8" t="s">
        <v>683</v>
      </c>
      <c r="C288" s="8" t="s">
        <v>113</v>
      </c>
      <c r="D288" s="8" t="s">
        <v>235</v>
      </c>
      <c r="E288" s="8" t="s">
        <v>136</v>
      </c>
      <c r="F288" s="4" t="s">
        <v>474</v>
      </c>
      <c r="G288" s="8" t="s">
        <v>20</v>
      </c>
      <c r="H288" s="8" t="s">
        <v>324</v>
      </c>
      <c r="I288" s="8"/>
      <c r="J288" s="47">
        <v>0.1</v>
      </c>
      <c r="K288" s="8">
        <v>100</v>
      </c>
    </row>
    <row r="289" spans="1:11" x14ac:dyDescent="0.35">
      <c r="A289" s="8">
        <v>288</v>
      </c>
      <c r="B289" s="8" t="s">
        <v>684</v>
      </c>
      <c r="C289" s="8" t="s">
        <v>113</v>
      </c>
      <c r="D289" s="8" t="s">
        <v>235</v>
      </c>
      <c r="E289" s="8" t="s">
        <v>136</v>
      </c>
      <c r="F289" s="4" t="s">
        <v>475</v>
      </c>
      <c r="G289" s="8" t="s">
        <v>20</v>
      </c>
      <c r="H289" s="8" t="s">
        <v>324</v>
      </c>
      <c r="I289" s="8"/>
      <c r="J289" s="47">
        <v>0.1</v>
      </c>
      <c r="K289" s="8">
        <v>100</v>
      </c>
    </row>
    <row r="290" spans="1:11" x14ac:dyDescent="0.35">
      <c r="A290" s="8">
        <v>289</v>
      </c>
      <c r="B290" s="8" t="s">
        <v>685</v>
      </c>
      <c r="C290" s="8" t="s">
        <v>113</v>
      </c>
      <c r="D290" s="8" t="s">
        <v>235</v>
      </c>
      <c r="E290" s="8" t="s">
        <v>136</v>
      </c>
      <c r="F290" s="4" t="s">
        <v>476</v>
      </c>
      <c r="G290" s="8" t="s">
        <v>20</v>
      </c>
      <c r="H290" s="8" t="s">
        <v>324</v>
      </c>
      <c r="I290" s="8"/>
      <c r="J290" s="47">
        <v>0.1</v>
      </c>
      <c r="K290" s="8">
        <v>100</v>
      </c>
    </row>
    <row r="291" spans="1:11" x14ac:dyDescent="0.35">
      <c r="A291" s="8">
        <v>290</v>
      </c>
      <c r="B291" s="8" t="s">
        <v>686</v>
      </c>
      <c r="C291" s="8" t="s">
        <v>113</v>
      </c>
      <c r="D291" s="8" t="s">
        <v>235</v>
      </c>
      <c r="E291" s="8" t="s">
        <v>136</v>
      </c>
      <c r="F291" s="4" t="s">
        <v>477</v>
      </c>
      <c r="G291" s="8" t="s">
        <v>20</v>
      </c>
      <c r="H291" s="8" t="s">
        <v>324</v>
      </c>
      <c r="I291" s="8"/>
      <c r="J291" s="47">
        <v>0.1</v>
      </c>
      <c r="K291" s="8">
        <v>100</v>
      </c>
    </row>
    <row r="292" spans="1:11" x14ac:dyDescent="0.35">
      <c r="A292" s="8">
        <v>291</v>
      </c>
      <c r="B292" s="8" t="s">
        <v>687</v>
      </c>
      <c r="C292" s="8" t="s">
        <v>113</v>
      </c>
      <c r="D292" s="8" t="s">
        <v>235</v>
      </c>
      <c r="E292" s="8" t="s">
        <v>136</v>
      </c>
      <c r="F292" s="4" t="s">
        <v>478</v>
      </c>
      <c r="G292" s="8" t="s">
        <v>20</v>
      </c>
      <c r="H292" s="8" t="s">
        <v>324</v>
      </c>
      <c r="I292" s="8"/>
      <c r="J292" s="47">
        <v>0.1</v>
      </c>
      <c r="K292" s="8">
        <v>100</v>
      </c>
    </row>
    <row r="293" spans="1:11" x14ac:dyDescent="0.35">
      <c r="A293" s="8">
        <v>292</v>
      </c>
      <c r="B293" s="8" t="s">
        <v>688</v>
      </c>
      <c r="C293" s="8" t="s">
        <v>113</v>
      </c>
      <c r="D293" s="8" t="s">
        <v>235</v>
      </c>
      <c r="E293" s="8" t="s">
        <v>136</v>
      </c>
      <c r="F293" s="4" t="s">
        <v>468</v>
      </c>
      <c r="G293" s="8" t="s">
        <v>20</v>
      </c>
      <c r="H293" s="8" t="s">
        <v>324</v>
      </c>
      <c r="I293" s="8"/>
      <c r="J293" s="47">
        <v>0.1</v>
      </c>
      <c r="K293" s="8">
        <v>100</v>
      </c>
    </row>
    <row r="294" spans="1:11" x14ac:dyDescent="0.35">
      <c r="A294" s="8">
        <v>293</v>
      </c>
      <c r="B294" s="8" t="s">
        <v>689</v>
      </c>
      <c r="C294" s="8" t="s">
        <v>113</v>
      </c>
      <c r="D294" s="8" t="s">
        <v>235</v>
      </c>
      <c r="E294" s="8" t="s">
        <v>136</v>
      </c>
      <c r="F294" s="4" t="s">
        <v>469</v>
      </c>
      <c r="G294" s="8" t="s">
        <v>20</v>
      </c>
      <c r="H294" s="8" t="s">
        <v>324</v>
      </c>
      <c r="I294" s="8"/>
      <c r="J294" s="47">
        <v>0.1</v>
      </c>
      <c r="K294" s="8">
        <v>100</v>
      </c>
    </row>
    <row r="295" spans="1:11" x14ac:dyDescent="0.35">
      <c r="A295" s="8">
        <v>294</v>
      </c>
      <c r="B295" s="8" t="s">
        <v>690</v>
      </c>
      <c r="C295" s="8" t="s">
        <v>113</v>
      </c>
      <c r="D295" s="8" t="s">
        <v>235</v>
      </c>
      <c r="E295" s="8" t="s">
        <v>136</v>
      </c>
      <c r="F295" s="4" t="s">
        <v>470</v>
      </c>
      <c r="G295" s="8" t="s">
        <v>20</v>
      </c>
      <c r="H295" s="8" t="s">
        <v>324</v>
      </c>
      <c r="I295" s="8"/>
      <c r="J295" s="47">
        <v>0.1</v>
      </c>
      <c r="K295" s="8">
        <v>100</v>
      </c>
    </row>
    <row r="296" spans="1:11" x14ac:dyDescent="0.35">
      <c r="A296" s="8">
        <v>295</v>
      </c>
      <c r="B296" s="8" t="s">
        <v>691</v>
      </c>
      <c r="C296" s="8" t="s">
        <v>113</v>
      </c>
      <c r="D296" s="8" t="s">
        <v>235</v>
      </c>
      <c r="E296" s="8" t="s">
        <v>136</v>
      </c>
      <c r="F296" s="4" t="s">
        <v>471</v>
      </c>
      <c r="G296" s="8" t="s">
        <v>20</v>
      </c>
      <c r="H296" s="8" t="s">
        <v>324</v>
      </c>
      <c r="I296" s="8"/>
      <c r="J296" s="47">
        <v>0.1</v>
      </c>
      <c r="K296" s="8">
        <v>100</v>
      </c>
    </row>
    <row r="297" spans="1:11" x14ac:dyDescent="0.35">
      <c r="A297" s="8">
        <v>296</v>
      </c>
      <c r="B297" s="8" t="s">
        <v>692</v>
      </c>
      <c r="C297" s="8" t="s">
        <v>113</v>
      </c>
      <c r="D297" s="8" t="s">
        <v>235</v>
      </c>
      <c r="E297" s="8" t="s">
        <v>136</v>
      </c>
      <c r="F297" s="4" t="s">
        <v>472</v>
      </c>
      <c r="G297" s="8" t="s">
        <v>20</v>
      </c>
      <c r="H297" s="8" t="s">
        <v>324</v>
      </c>
      <c r="I297" s="8"/>
      <c r="J297" s="47">
        <v>0.1</v>
      </c>
      <c r="K297" s="8">
        <v>100</v>
      </c>
    </row>
    <row r="298" spans="1:11" x14ac:dyDescent="0.35">
      <c r="A298" s="8">
        <v>297</v>
      </c>
      <c r="B298" s="8" t="s">
        <v>693</v>
      </c>
      <c r="C298" s="8" t="s">
        <v>113</v>
      </c>
      <c r="D298" s="8" t="s">
        <v>235</v>
      </c>
      <c r="E298" s="8" t="s">
        <v>136</v>
      </c>
      <c r="F298" s="4" t="s">
        <v>473</v>
      </c>
      <c r="G298" s="8" t="s">
        <v>20</v>
      </c>
      <c r="H298" s="8" t="s">
        <v>324</v>
      </c>
      <c r="I298" s="8"/>
      <c r="J298" s="47">
        <v>0.1</v>
      </c>
      <c r="K298" s="8">
        <v>100</v>
      </c>
    </row>
    <row r="299" spans="1:11" x14ac:dyDescent="0.35">
      <c r="A299" s="8">
        <v>298</v>
      </c>
      <c r="B299" s="8" t="s">
        <v>694</v>
      </c>
      <c r="C299" s="8" t="s">
        <v>113</v>
      </c>
      <c r="D299" s="8" t="s">
        <v>235</v>
      </c>
      <c r="E299" s="8" t="s">
        <v>136</v>
      </c>
      <c r="F299" s="4" t="s">
        <v>474</v>
      </c>
      <c r="G299" s="8" t="s">
        <v>20</v>
      </c>
      <c r="H299" s="8" t="s">
        <v>324</v>
      </c>
      <c r="I299" s="8"/>
      <c r="J299" s="47">
        <v>0.1</v>
      </c>
      <c r="K299" s="8">
        <v>100</v>
      </c>
    </row>
    <row r="300" spans="1:11" x14ac:dyDescent="0.35">
      <c r="A300" s="8">
        <v>299</v>
      </c>
      <c r="B300" s="8" t="s">
        <v>695</v>
      </c>
      <c r="C300" s="8" t="s">
        <v>113</v>
      </c>
      <c r="D300" s="8" t="s">
        <v>235</v>
      </c>
      <c r="E300" s="8" t="s">
        <v>136</v>
      </c>
      <c r="F300" s="4" t="s">
        <v>475</v>
      </c>
      <c r="G300" s="8" t="s">
        <v>20</v>
      </c>
      <c r="H300" s="8" t="s">
        <v>324</v>
      </c>
      <c r="I300" s="8"/>
      <c r="J300" s="47">
        <v>0.1</v>
      </c>
      <c r="K300" s="8">
        <v>100</v>
      </c>
    </row>
    <row r="301" spans="1:11" x14ac:dyDescent="0.35">
      <c r="A301" s="8">
        <v>300</v>
      </c>
      <c r="B301" s="8" t="s">
        <v>696</v>
      </c>
      <c r="C301" s="8" t="s">
        <v>113</v>
      </c>
      <c r="D301" s="8" t="s">
        <v>235</v>
      </c>
      <c r="E301" s="8" t="s">
        <v>136</v>
      </c>
      <c r="F301" s="4" t="s">
        <v>476</v>
      </c>
      <c r="G301" s="8" t="s">
        <v>20</v>
      </c>
      <c r="H301" s="8" t="s">
        <v>324</v>
      </c>
      <c r="I301" s="8"/>
      <c r="J301" s="47">
        <v>0.1</v>
      </c>
      <c r="K301" s="8">
        <v>100</v>
      </c>
    </row>
    <row r="302" spans="1:11" x14ac:dyDescent="0.35">
      <c r="A302" s="8">
        <v>301</v>
      </c>
      <c r="B302" s="8" t="s">
        <v>697</v>
      </c>
      <c r="C302" s="8" t="s">
        <v>113</v>
      </c>
      <c r="D302" s="8" t="s">
        <v>235</v>
      </c>
      <c r="E302" s="8" t="s">
        <v>136</v>
      </c>
      <c r="F302" s="4" t="s">
        <v>477</v>
      </c>
      <c r="G302" s="8" t="s">
        <v>20</v>
      </c>
      <c r="H302" s="8" t="s">
        <v>324</v>
      </c>
      <c r="I302" s="8"/>
      <c r="J302" s="47">
        <v>0.1</v>
      </c>
      <c r="K302" s="8">
        <v>100</v>
      </c>
    </row>
    <row r="303" spans="1:11" x14ac:dyDescent="0.35">
      <c r="A303" s="8">
        <v>302</v>
      </c>
      <c r="B303" s="8" t="s">
        <v>698</v>
      </c>
      <c r="C303" s="8" t="s">
        <v>113</v>
      </c>
      <c r="D303" s="8" t="s">
        <v>235</v>
      </c>
      <c r="E303" s="8" t="s">
        <v>136</v>
      </c>
      <c r="F303" s="4" t="s">
        <v>478</v>
      </c>
      <c r="G303" s="8" t="s">
        <v>20</v>
      </c>
      <c r="H303" s="8" t="s">
        <v>324</v>
      </c>
      <c r="I303" s="8"/>
      <c r="J303" s="47">
        <v>0.1</v>
      </c>
      <c r="K303" s="8">
        <v>100</v>
      </c>
    </row>
    <row r="304" spans="1:11" x14ac:dyDescent="0.35">
      <c r="A304" s="8">
        <v>303</v>
      </c>
      <c r="B304" s="8" t="s">
        <v>743</v>
      </c>
      <c r="C304" s="8" t="s">
        <v>113</v>
      </c>
      <c r="D304" s="8" t="s">
        <v>235</v>
      </c>
      <c r="E304" s="8" t="s">
        <v>136</v>
      </c>
      <c r="F304" s="4" t="s">
        <v>699</v>
      </c>
      <c r="G304" s="8" t="s">
        <v>20</v>
      </c>
      <c r="H304" s="8" t="s">
        <v>324</v>
      </c>
      <c r="I304" s="8"/>
      <c r="J304" s="47">
        <v>0.1</v>
      </c>
      <c r="K304" s="8">
        <v>100</v>
      </c>
    </row>
    <row r="305" spans="1:11" x14ac:dyDescent="0.35">
      <c r="A305" s="8">
        <v>304</v>
      </c>
      <c r="B305" s="8" t="s">
        <v>744</v>
      </c>
      <c r="C305" s="8" t="s">
        <v>113</v>
      </c>
      <c r="D305" s="8" t="s">
        <v>235</v>
      </c>
      <c r="E305" s="8" t="s">
        <v>136</v>
      </c>
      <c r="F305" s="4" t="s">
        <v>700</v>
      </c>
      <c r="G305" s="8" t="s">
        <v>20</v>
      </c>
      <c r="H305" s="8" t="s">
        <v>324</v>
      </c>
      <c r="I305" s="8"/>
      <c r="J305" s="47">
        <v>0.1</v>
      </c>
      <c r="K305" s="8">
        <v>100</v>
      </c>
    </row>
    <row r="306" spans="1:11" x14ac:dyDescent="0.35">
      <c r="A306" s="8">
        <v>305</v>
      </c>
      <c r="B306" s="8" t="s">
        <v>745</v>
      </c>
      <c r="C306" s="8" t="s">
        <v>113</v>
      </c>
      <c r="D306" s="8" t="s">
        <v>235</v>
      </c>
      <c r="E306" s="8" t="s">
        <v>136</v>
      </c>
      <c r="F306" s="4" t="s">
        <v>701</v>
      </c>
      <c r="G306" s="8" t="s">
        <v>20</v>
      </c>
      <c r="H306" s="8" t="s">
        <v>324</v>
      </c>
      <c r="I306" s="8"/>
      <c r="J306" s="47">
        <v>0.1</v>
      </c>
      <c r="K306" s="8">
        <v>100</v>
      </c>
    </row>
    <row r="307" spans="1:11" x14ac:dyDescent="0.35">
      <c r="A307" s="8">
        <v>306</v>
      </c>
      <c r="B307" s="8" t="s">
        <v>746</v>
      </c>
      <c r="C307" s="8" t="s">
        <v>113</v>
      </c>
      <c r="D307" s="8" t="s">
        <v>235</v>
      </c>
      <c r="E307" s="8" t="s">
        <v>136</v>
      </c>
      <c r="F307" s="4" t="s">
        <v>702</v>
      </c>
      <c r="G307" s="8" t="s">
        <v>20</v>
      </c>
      <c r="H307" s="8" t="s">
        <v>324</v>
      </c>
      <c r="I307" s="8"/>
      <c r="J307" s="47">
        <v>0.1</v>
      </c>
      <c r="K307" s="8">
        <v>100</v>
      </c>
    </row>
    <row r="308" spans="1:11" x14ac:dyDescent="0.35">
      <c r="A308" s="8">
        <v>307</v>
      </c>
      <c r="B308" s="8" t="s">
        <v>747</v>
      </c>
      <c r="C308" s="8" t="s">
        <v>113</v>
      </c>
      <c r="D308" s="8" t="s">
        <v>235</v>
      </c>
      <c r="E308" s="8" t="s">
        <v>136</v>
      </c>
      <c r="F308" s="4" t="s">
        <v>703</v>
      </c>
      <c r="G308" s="8" t="s">
        <v>20</v>
      </c>
      <c r="H308" s="8" t="s">
        <v>324</v>
      </c>
      <c r="I308" s="8"/>
      <c r="J308" s="47">
        <v>0.1</v>
      </c>
      <c r="K308" s="8">
        <v>100</v>
      </c>
    </row>
    <row r="309" spans="1:11" x14ac:dyDescent="0.35">
      <c r="A309" s="8">
        <v>308</v>
      </c>
      <c r="B309" s="8" t="s">
        <v>748</v>
      </c>
      <c r="C309" s="8" t="s">
        <v>113</v>
      </c>
      <c r="D309" s="8" t="s">
        <v>235</v>
      </c>
      <c r="E309" s="8" t="s">
        <v>136</v>
      </c>
      <c r="F309" s="4" t="s">
        <v>704</v>
      </c>
      <c r="G309" s="8" t="s">
        <v>20</v>
      </c>
      <c r="H309" s="8" t="s">
        <v>324</v>
      </c>
      <c r="I309" s="8"/>
      <c r="J309" s="47">
        <v>0.1</v>
      </c>
      <c r="K309" s="8">
        <v>100</v>
      </c>
    </row>
    <row r="310" spans="1:11" x14ac:dyDescent="0.35">
      <c r="A310" s="8">
        <v>309</v>
      </c>
      <c r="B310" s="8" t="s">
        <v>749</v>
      </c>
      <c r="C310" s="8" t="s">
        <v>113</v>
      </c>
      <c r="D310" s="8" t="s">
        <v>235</v>
      </c>
      <c r="E310" s="8" t="s">
        <v>136</v>
      </c>
      <c r="F310" s="4" t="s">
        <v>705</v>
      </c>
      <c r="G310" s="8" t="s">
        <v>20</v>
      </c>
      <c r="H310" s="8" t="s">
        <v>324</v>
      </c>
      <c r="I310" s="8"/>
      <c r="J310" s="47">
        <v>0.1</v>
      </c>
      <c r="K310" s="8">
        <v>100</v>
      </c>
    </row>
    <row r="311" spans="1:11" x14ac:dyDescent="0.35">
      <c r="A311" s="8">
        <v>310</v>
      </c>
      <c r="B311" s="8" t="s">
        <v>750</v>
      </c>
      <c r="C311" s="8" t="s">
        <v>113</v>
      </c>
      <c r="D311" s="8" t="s">
        <v>235</v>
      </c>
      <c r="E311" s="8" t="s">
        <v>136</v>
      </c>
      <c r="F311" s="4" t="s">
        <v>706</v>
      </c>
      <c r="G311" s="8" t="s">
        <v>20</v>
      </c>
      <c r="H311" s="8" t="s">
        <v>324</v>
      </c>
      <c r="I311" s="8"/>
      <c r="J311" s="47">
        <v>0.1</v>
      </c>
      <c r="K311" s="8">
        <v>100</v>
      </c>
    </row>
    <row r="312" spans="1:11" x14ac:dyDescent="0.35">
      <c r="A312" s="8">
        <v>311</v>
      </c>
      <c r="B312" s="8" t="s">
        <v>751</v>
      </c>
      <c r="C312" s="8" t="s">
        <v>113</v>
      </c>
      <c r="D312" s="8" t="s">
        <v>235</v>
      </c>
      <c r="E312" s="8" t="s">
        <v>136</v>
      </c>
      <c r="F312" s="4" t="s">
        <v>707</v>
      </c>
      <c r="G312" s="8" t="s">
        <v>20</v>
      </c>
      <c r="H312" s="8" t="s">
        <v>324</v>
      </c>
      <c r="I312" s="8"/>
      <c r="J312" s="47">
        <v>0.1</v>
      </c>
      <c r="K312" s="8">
        <v>100</v>
      </c>
    </row>
    <row r="313" spans="1:11" x14ac:dyDescent="0.35">
      <c r="A313" s="8">
        <v>312</v>
      </c>
      <c r="B313" s="8" t="s">
        <v>752</v>
      </c>
      <c r="C313" s="8" t="s">
        <v>113</v>
      </c>
      <c r="D313" s="8" t="s">
        <v>235</v>
      </c>
      <c r="E313" s="8" t="s">
        <v>136</v>
      </c>
      <c r="F313" s="4" t="s">
        <v>708</v>
      </c>
      <c r="G313" s="8" t="s">
        <v>20</v>
      </c>
      <c r="H313" s="8" t="s">
        <v>324</v>
      </c>
      <c r="I313" s="8"/>
      <c r="J313" s="47">
        <v>0.1</v>
      </c>
      <c r="K313" s="8">
        <v>100</v>
      </c>
    </row>
    <row r="314" spans="1:11" x14ac:dyDescent="0.35">
      <c r="A314" s="8">
        <v>313</v>
      </c>
      <c r="B314" s="8" t="s">
        <v>753</v>
      </c>
      <c r="C314" s="8" t="s">
        <v>113</v>
      </c>
      <c r="D314" s="8" t="s">
        <v>235</v>
      </c>
      <c r="E314" s="8" t="s">
        <v>136</v>
      </c>
      <c r="F314" s="4" t="s">
        <v>709</v>
      </c>
      <c r="G314" s="8" t="s">
        <v>20</v>
      </c>
      <c r="H314" s="8" t="s">
        <v>324</v>
      </c>
      <c r="I314" s="8"/>
      <c r="J314" s="47">
        <v>0.1</v>
      </c>
      <c r="K314" s="8">
        <v>100</v>
      </c>
    </row>
    <row r="315" spans="1:11" x14ac:dyDescent="0.35">
      <c r="A315" s="8">
        <v>314</v>
      </c>
      <c r="B315" s="8" t="s">
        <v>754</v>
      </c>
      <c r="C315" s="8" t="s">
        <v>113</v>
      </c>
      <c r="D315" s="8" t="s">
        <v>235</v>
      </c>
      <c r="E315" s="8" t="s">
        <v>136</v>
      </c>
      <c r="F315" s="4" t="s">
        <v>710</v>
      </c>
      <c r="G315" s="8" t="s">
        <v>20</v>
      </c>
      <c r="H315" s="8" t="s">
        <v>324</v>
      </c>
      <c r="I315" s="8"/>
      <c r="J315" s="47">
        <v>0.1</v>
      </c>
      <c r="K315" s="8">
        <v>100</v>
      </c>
    </row>
    <row r="316" spans="1:11" x14ac:dyDescent="0.35">
      <c r="A316" s="8">
        <v>315</v>
      </c>
      <c r="B316" s="8" t="s">
        <v>755</v>
      </c>
      <c r="C316" s="8" t="s">
        <v>113</v>
      </c>
      <c r="D316" s="8" t="s">
        <v>235</v>
      </c>
      <c r="E316" s="8" t="s">
        <v>136</v>
      </c>
      <c r="F316" s="4" t="s">
        <v>711</v>
      </c>
      <c r="G316" s="8" t="s">
        <v>20</v>
      </c>
      <c r="H316" s="8" t="s">
        <v>324</v>
      </c>
      <c r="I316" s="8"/>
      <c r="J316" s="47">
        <v>0.1</v>
      </c>
      <c r="K316" s="8">
        <v>100</v>
      </c>
    </row>
    <row r="317" spans="1:11" x14ac:dyDescent="0.35">
      <c r="A317" s="8">
        <v>316</v>
      </c>
      <c r="B317" s="8" t="s">
        <v>756</v>
      </c>
      <c r="C317" s="8" t="s">
        <v>113</v>
      </c>
      <c r="D317" s="8" t="s">
        <v>235</v>
      </c>
      <c r="E317" s="8" t="s">
        <v>136</v>
      </c>
      <c r="F317" s="4" t="s">
        <v>712</v>
      </c>
      <c r="G317" s="8" t="s">
        <v>20</v>
      </c>
      <c r="H317" s="8" t="s">
        <v>324</v>
      </c>
      <c r="I317" s="8"/>
      <c r="J317" s="47">
        <v>0.1</v>
      </c>
      <c r="K317" s="8">
        <v>100</v>
      </c>
    </row>
    <row r="318" spans="1:11" x14ac:dyDescent="0.35">
      <c r="A318" s="8">
        <v>317</v>
      </c>
      <c r="B318" s="8" t="s">
        <v>757</v>
      </c>
      <c r="C318" s="8" t="s">
        <v>113</v>
      </c>
      <c r="D318" s="8" t="s">
        <v>235</v>
      </c>
      <c r="E318" s="8" t="s">
        <v>136</v>
      </c>
      <c r="F318" s="4" t="s">
        <v>713</v>
      </c>
      <c r="G318" s="8" t="s">
        <v>20</v>
      </c>
      <c r="H318" s="8" t="s">
        <v>324</v>
      </c>
      <c r="I318" s="8"/>
      <c r="J318" s="47">
        <v>0.1</v>
      </c>
      <c r="K318" s="8">
        <v>100</v>
      </c>
    </row>
    <row r="319" spans="1:11" x14ac:dyDescent="0.35">
      <c r="A319" s="8">
        <v>318</v>
      </c>
      <c r="B319" s="8" t="s">
        <v>758</v>
      </c>
      <c r="C319" s="8" t="s">
        <v>113</v>
      </c>
      <c r="D319" s="8" t="s">
        <v>235</v>
      </c>
      <c r="E319" s="8" t="s">
        <v>136</v>
      </c>
      <c r="F319" s="4" t="s">
        <v>714</v>
      </c>
      <c r="G319" s="8" t="s">
        <v>20</v>
      </c>
      <c r="H319" s="8" t="s">
        <v>324</v>
      </c>
      <c r="I319" s="8"/>
      <c r="J319" s="47">
        <v>0.1</v>
      </c>
      <c r="K319" s="8">
        <v>100</v>
      </c>
    </row>
    <row r="320" spans="1:11" x14ac:dyDescent="0.35">
      <c r="A320" s="8">
        <v>319</v>
      </c>
      <c r="B320" s="8" t="s">
        <v>759</v>
      </c>
      <c r="C320" s="8" t="s">
        <v>113</v>
      </c>
      <c r="D320" s="8" t="s">
        <v>235</v>
      </c>
      <c r="E320" s="8" t="s">
        <v>136</v>
      </c>
      <c r="F320" s="4" t="s">
        <v>715</v>
      </c>
      <c r="G320" s="8" t="s">
        <v>20</v>
      </c>
      <c r="H320" s="8" t="s">
        <v>324</v>
      </c>
      <c r="I320" s="8"/>
      <c r="J320" s="47">
        <v>0.1</v>
      </c>
      <c r="K320" s="8">
        <v>100</v>
      </c>
    </row>
    <row r="321" spans="1:11" x14ac:dyDescent="0.35">
      <c r="A321" s="8">
        <v>320</v>
      </c>
      <c r="B321" s="8" t="s">
        <v>760</v>
      </c>
      <c r="C321" s="8" t="s">
        <v>113</v>
      </c>
      <c r="D321" s="8" t="s">
        <v>235</v>
      </c>
      <c r="E321" s="8" t="s">
        <v>136</v>
      </c>
      <c r="F321" s="4" t="s">
        <v>716</v>
      </c>
      <c r="G321" s="8" t="s">
        <v>20</v>
      </c>
      <c r="H321" s="8" t="s">
        <v>324</v>
      </c>
      <c r="I321" s="8"/>
      <c r="J321" s="47">
        <v>0.1</v>
      </c>
      <c r="K321" s="8">
        <v>100</v>
      </c>
    </row>
    <row r="322" spans="1:11" x14ac:dyDescent="0.35">
      <c r="A322" s="8">
        <v>321</v>
      </c>
      <c r="B322" s="8" t="s">
        <v>761</v>
      </c>
      <c r="C322" s="8" t="s">
        <v>113</v>
      </c>
      <c r="D322" s="8" t="s">
        <v>235</v>
      </c>
      <c r="E322" s="8" t="s">
        <v>136</v>
      </c>
      <c r="F322" s="4" t="s">
        <v>717</v>
      </c>
      <c r="G322" s="8" t="s">
        <v>20</v>
      </c>
      <c r="H322" s="8" t="s">
        <v>324</v>
      </c>
      <c r="I322" s="8"/>
      <c r="J322" s="47">
        <v>0.1</v>
      </c>
      <c r="K322" s="8">
        <v>100</v>
      </c>
    </row>
    <row r="323" spans="1:11" x14ac:dyDescent="0.35">
      <c r="A323" s="8">
        <v>322</v>
      </c>
      <c r="B323" s="8" t="s">
        <v>762</v>
      </c>
      <c r="C323" s="8" t="s">
        <v>113</v>
      </c>
      <c r="D323" s="8" t="s">
        <v>235</v>
      </c>
      <c r="E323" s="8" t="s">
        <v>136</v>
      </c>
      <c r="F323" s="4" t="s">
        <v>718</v>
      </c>
      <c r="G323" s="8" t="s">
        <v>20</v>
      </c>
      <c r="H323" s="8" t="s">
        <v>324</v>
      </c>
      <c r="I323" s="8"/>
      <c r="J323" s="47">
        <v>0.1</v>
      </c>
      <c r="K323" s="8">
        <v>100</v>
      </c>
    </row>
    <row r="324" spans="1:11" x14ac:dyDescent="0.35">
      <c r="A324" s="8">
        <v>323</v>
      </c>
      <c r="B324" s="8" t="s">
        <v>763</v>
      </c>
      <c r="C324" s="8" t="s">
        <v>113</v>
      </c>
      <c r="D324" s="8" t="s">
        <v>235</v>
      </c>
      <c r="E324" s="8" t="s">
        <v>136</v>
      </c>
      <c r="F324" s="4" t="s">
        <v>719</v>
      </c>
      <c r="G324" s="8" t="s">
        <v>20</v>
      </c>
      <c r="H324" s="8" t="s">
        <v>324</v>
      </c>
      <c r="I324" s="8"/>
      <c r="J324" s="47">
        <v>0.1</v>
      </c>
      <c r="K324" s="8">
        <v>100</v>
      </c>
    </row>
    <row r="325" spans="1:11" x14ac:dyDescent="0.35">
      <c r="A325" s="8">
        <v>324</v>
      </c>
      <c r="B325" s="8" t="s">
        <v>764</v>
      </c>
      <c r="C325" s="8" t="s">
        <v>113</v>
      </c>
      <c r="D325" s="8" t="s">
        <v>235</v>
      </c>
      <c r="E325" s="8" t="s">
        <v>136</v>
      </c>
      <c r="F325" s="4" t="s">
        <v>720</v>
      </c>
      <c r="G325" s="8" t="s">
        <v>20</v>
      </c>
      <c r="H325" s="8" t="s">
        <v>324</v>
      </c>
      <c r="I325" s="8"/>
      <c r="J325" s="47">
        <v>0.1</v>
      </c>
      <c r="K325" s="8">
        <v>100</v>
      </c>
    </row>
    <row r="326" spans="1:11" x14ac:dyDescent="0.35">
      <c r="A326" s="8">
        <v>325</v>
      </c>
      <c r="B326" s="8" t="s">
        <v>765</v>
      </c>
      <c r="C326" s="8" t="s">
        <v>113</v>
      </c>
      <c r="D326" s="8" t="s">
        <v>235</v>
      </c>
      <c r="E326" s="8" t="s">
        <v>136</v>
      </c>
      <c r="F326" s="4" t="s">
        <v>721</v>
      </c>
      <c r="G326" s="8" t="s">
        <v>20</v>
      </c>
      <c r="H326" s="8" t="s">
        <v>324</v>
      </c>
      <c r="I326" s="8"/>
      <c r="J326" s="47">
        <v>0.1</v>
      </c>
      <c r="K326" s="8">
        <v>100</v>
      </c>
    </row>
    <row r="327" spans="1:11" x14ac:dyDescent="0.35">
      <c r="A327" s="8">
        <v>326</v>
      </c>
      <c r="B327" s="8" t="s">
        <v>766</v>
      </c>
      <c r="C327" s="8" t="s">
        <v>113</v>
      </c>
      <c r="D327" s="8" t="s">
        <v>235</v>
      </c>
      <c r="E327" s="8" t="s">
        <v>136</v>
      </c>
      <c r="F327" s="4" t="s">
        <v>722</v>
      </c>
      <c r="G327" s="8" t="s">
        <v>20</v>
      </c>
      <c r="H327" s="8" t="s">
        <v>324</v>
      </c>
      <c r="I327" s="8"/>
      <c r="J327" s="47">
        <v>0.1</v>
      </c>
      <c r="K327" s="8">
        <v>100</v>
      </c>
    </row>
    <row r="328" spans="1:11" x14ac:dyDescent="0.35">
      <c r="A328" s="8">
        <v>327</v>
      </c>
      <c r="B328" s="8" t="s">
        <v>767</v>
      </c>
      <c r="C328" s="8" t="s">
        <v>113</v>
      </c>
      <c r="D328" s="8" t="s">
        <v>235</v>
      </c>
      <c r="E328" s="8" t="s">
        <v>136</v>
      </c>
      <c r="F328" s="4" t="s">
        <v>723</v>
      </c>
      <c r="G328" s="8" t="s">
        <v>20</v>
      </c>
      <c r="H328" s="8" t="s">
        <v>324</v>
      </c>
      <c r="I328" s="8"/>
      <c r="J328" s="47">
        <v>0.1</v>
      </c>
      <c r="K328" s="8">
        <v>100</v>
      </c>
    </row>
    <row r="329" spans="1:11" x14ac:dyDescent="0.35">
      <c r="A329" s="8">
        <v>328</v>
      </c>
      <c r="B329" s="8" t="s">
        <v>768</v>
      </c>
      <c r="C329" s="8" t="s">
        <v>113</v>
      </c>
      <c r="D329" s="8" t="s">
        <v>235</v>
      </c>
      <c r="E329" s="8" t="s">
        <v>136</v>
      </c>
      <c r="F329" s="4" t="s">
        <v>724</v>
      </c>
      <c r="G329" s="8" t="s">
        <v>20</v>
      </c>
      <c r="H329" s="8" t="s">
        <v>324</v>
      </c>
      <c r="I329" s="8"/>
      <c r="J329" s="47">
        <v>0.1</v>
      </c>
      <c r="K329" s="8">
        <v>100</v>
      </c>
    </row>
    <row r="330" spans="1:11" x14ac:dyDescent="0.35">
      <c r="A330" s="8">
        <v>329</v>
      </c>
      <c r="B330" s="8" t="s">
        <v>769</v>
      </c>
      <c r="C330" s="8" t="s">
        <v>113</v>
      </c>
      <c r="D330" s="8" t="s">
        <v>235</v>
      </c>
      <c r="E330" s="8" t="s">
        <v>136</v>
      </c>
      <c r="F330" s="4" t="s">
        <v>725</v>
      </c>
      <c r="G330" s="8" t="s">
        <v>20</v>
      </c>
      <c r="H330" s="8" t="s">
        <v>324</v>
      </c>
      <c r="I330" s="8"/>
      <c r="J330" s="47">
        <v>0.1</v>
      </c>
      <c r="K330" s="8">
        <v>100</v>
      </c>
    </row>
    <row r="331" spans="1:11" x14ac:dyDescent="0.35">
      <c r="A331" s="8">
        <v>330</v>
      </c>
      <c r="B331" s="8" t="s">
        <v>770</v>
      </c>
      <c r="C331" s="8" t="s">
        <v>113</v>
      </c>
      <c r="D331" s="8" t="s">
        <v>235</v>
      </c>
      <c r="E331" s="8" t="s">
        <v>136</v>
      </c>
      <c r="F331" s="4" t="s">
        <v>726</v>
      </c>
      <c r="G331" s="8" t="s">
        <v>20</v>
      </c>
      <c r="H331" s="8" t="s">
        <v>324</v>
      </c>
      <c r="I331" s="8"/>
      <c r="J331" s="47">
        <v>0.1</v>
      </c>
      <c r="K331" s="8">
        <v>100</v>
      </c>
    </row>
    <row r="332" spans="1:11" x14ac:dyDescent="0.35">
      <c r="A332" s="8">
        <v>331</v>
      </c>
      <c r="B332" s="8" t="s">
        <v>771</v>
      </c>
      <c r="C332" s="8" t="s">
        <v>113</v>
      </c>
      <c r="D332" s="8" t="s">
        <v>235</v>
      </c>
      <c r="E332" s="8" t="s">
        <v>136</v>
      </c>
      <c r="F332" s="4" t="s">
        <v>727</v>
      </c>
      <c r="G332" s="8" t="s">
        <v>20</v>
      </c>
      <c r="H332" s="8" t="s">
        <v>324</v>
      </c>
      <c r="I332" s="8"/>
      <c r="J332" s="47">
        <v>0.1</v>
      </c>
      <c r="K332" s="8">
        <v>100</v>
      </c>
    </row>
    <row r="333" spans="1:11" x14ac:dyDescent="0.35">
      <c r="A333" s="8">
        <v>332</v>
      </c>
      <c r="B333" s="8" t="s">
        <v>772</v>
      </c>
      <c r="C333" s="8" t="s">
        <v>113</v>
      </c>
      <c r="D333" s="8" t="s">
        <v>235</v>
      </c>
      <c r="E333" s="8" t="s">
        <v>136</v>
      </c>
      <c r="F333" s="4" t="s">
        <v>728</v>
      </c>
      <c r="G333" s="8" t="s">
        <v>20</v>
      </c>
      <c r="H333" s="8" t="s">
        <v>324</v>
      </c>
      <c r="I333" s="8"/>
      <c r="J333" s="47">
        <v>0.1</v>
      </c>
      <c r="K333" s="8">
        <v>100</v>
      </c>
    </row>
    <row r="334" spans="1:11" x14ac:dyDescent="0.35">
      <c r="A334" s="8">
        <v>333</v>
      </c>
      <c r="B334" s="8" t="s">
        <v>773</v>
      </c>
      <c r="C334" s="8" t="s">
        <v>113</v>
      </c>
      <c r="D334" s="8" t="s">
        <v>235</v>
      </c>
      <c r="E334" s="8" t="s">
        <v>136</v>
      </c>
      <c r="F334" s="4" t="s">
        <v>729</v>
      </c>
      <c r="G334" s="8" t="s">
        <v>20</v>
      </c>
      <c r="H334" s="8" t="s">
        <v>324</v>
      </c>
      <c r="I334" s="8"/>
      <c r="J334" s="47">
        <v>0.1</v>
      </c>
      <c r="K334" s="8">
        <v>100</v>
      </c>
    </row>
    <row r="335" spans="1:11" x14ac:dyDescent="0.35">
      <c r="A335" s="8">
        <v>334</v>
      </c>
      <c r="B335" s="8" t="s">
        <v>774</v>
      </c>
      <c r="C335" s="8" t="s">
        <v>113</v>
      </c>
      <c r="D335" s="8" t="s">
        <v>235</v>
      </c>
      <c r="E335" s="8" t="s">
        <v>136</v>
      </c>
      <c r="F335" s="4" t="s">
        <v>730</v>
      </c>
      <c r="G335" s="8" t="s">
        <v>20</v>
      </c>
      <c r="H335" s="8" t="s">
        <v>324</v>
      </c>
      <c r="I335" s="8"/>
      <c r="J335" s="47">
        <v>0.1</v>
      </c>
      <c r="K335" s="8">
        <v>100</v>
      </c>
    </row>
    <row r="336" spans="1:11" x14ac:dyDescent="0.35">
      <c r="A336" s="8">
        <v>335</v>
      </c>
      <c r="B336" s="8" t="s">
        <v>775</v>
      </c>
      <c r="C336" s="8" t="s">
        <v>113</v>
      </c>
      <c r="D336" s="8" t="s">
        <v>235</v>
      </c>
      <c r="E336" s="8" t="s">
        <v>136</v>
      </c>
      <c r="F336" s="4" t="s">
        <v>731</v>
      </c>
      <c r="G336" s="8" t="s">
        <v>20</v>
      </c>
      <c r="H336" s="8" t="s">
        <v>324</v>
      </c>
      <c r="I336" s="8"/>
      <c r="J336" s="47">
        <v>0.1</v>
      </c>
      <c r="K336" s="8">
        <v>100</v>
      </c>
    </row>
    <row r="337" spans="1:11" x14ac:dyDescent="0.35">
      <c r="A337" s="8">
        <v>336</v>
      </c>
      <c r="B337" s="8" t="s">
        <v>776</v>
      </c>
      <c r="C337" s="8" t="s">
        <v>113</v>
      </c>
      <c r="D337" s="8" t="s">
        <v>235</v>
      </c>
      <c r="E337" s="8" t="s">
        <v>136</v>
      </c>
      <c r="F337" s="4" t="s">
        <v>732</v>
      </c>
      <c r="G337" s="8" t="s">
        <v>20</v>
      </c>
      <c r="H337" s="8" t="s">
        <v>324</v>
      </c>
      <c r="I337" s="8"/>
      <c r="J337" s="47">
        <v>0.1</v>
      </c>
      <c r="K337" s="8">
        <v>100</v>
      </c>
    </row>
    <row r="338" spans="1:11" x14ac:dyDescent="0.35">
      <c r="A338" s="8">
        <v>337</v>
      </c>
      <c r="B338" s="8" t="s">
        <v>777</v>
      </c>
      <c r="C338" s="8" t="s">
        <v>113</v>
      </c>
      <c r="D338" s="8" t="s">
        <v>235</v>
      </c>
      <c r="E338" s="8" t="s">
        <v>136</v>
      </c>
      <c r="F338" s="4" t="s">
        <v>733</v>
      </c>
      <c r="G338" s="8" t="s">
        <v>20</v>
      </c>
      <c r="H338" s="8" t="s">
        <v>324</v>
      </c>
      <c r="I338" s="8"/>
      <c r="J338" s="47">
        <v>0.1</v>
      </c>
      <c r="K338" s="8">
        <v>100</v>
      </c>
    </row>
    <row r="339" spans="1:11" x14ac:dyDescent="0.35">
      <c r="A339" s="8">
        <v>338</v>
      </c>
      <c r="B339" s="8" t="s">
        <v>778</v>
      </c>
      <c r="C339" s="8" t="s">
        <v>113</v>
      </c>
      <c r="D339" s="8" t="s">
        <v>235</v>
      </c>
      <c r="E339" s="8" t="s">
        <v>136</v>
      </c>
      <c r="F339" s="4" t="s">
        <v>734</v>
      </c>
      <c r="G339" s="8" t="s">
        <v>20</v>
      </c>
      <c r="H339" s="8" t="s">
        <v>324</v>
      </c>
      <c r="I339" s="8"/>
      <c r="J339" s="47">
        <v>0.1</v>
      </c>
      <c r="K339" s="8">
        <v>100</v>
      </c>
    </row>
    <row r="340" spans="1:11" x14ac:dyDescent="0.35">
      <c r="A340" s="8">
        <v>339</v>
      </c>
      <c r="B340" s="8" t="s">
        <v>779</v>
      </c>
      <c r="C340" s="8" t="s">
        <v>113</v>
      </c>
      <c r="D340" s="8" t="s">
        <v>235</v>
      </c>
      <c r="E340" s="8" t="s">
        <v>136</v>
      </c>
      <c r="F340" s="4" t="s">
        <v>735</v>
      </c>
      <c r="G340" s="8" t="s">
        <v>20</v>
      </c>
      <c r="H340" s="8" t="s">
        <v>324</v>
      </c>
      <c r="I340" s="8"/>
      <c r="J340" s="47">
        <v>0.1</v>
      </c>
      <c r="K340" s="8">
        <v>100</v>
      </c>
    </row>
    <row r="341" spans="1:11" x14ac:dyDescent="0.35">
      <c r="A341" s="8">
        <v>340</v>
      </c>
      <c r="B341" s="8" t="s">
        <v>780</v>
      </c>
      <c r="C341" s="8" t="s">
        <v>113</v>
      </c>
      <c r="D341" s="8" t="s">
        <v>235</v>
      </c>
      <c r="E341" s="8" t="s">
        <v>136</v>
      </c>
      <c r="F341" s="4" t="s">
        <v>736</v>
      </c>
      <c r="G341" s="8" t="s">
        <v>20</v>
      </c>
      <c r="H341" s="8" t="s">
        <v>324</v>
      </c>
      <c r="I341" s="8"/>
      <c r="J341" s="47">
        <v>0.1</v>
      </c>
      <c r="K341" s="8">
        <v>100</v>
      </c>
    </row>
    <row r="342" spans="1:11" x14ac:dyDescent="0.35">
      <c r="A342" s="8">
        <v>341</v>
      </c>
      <c r="B342" s="8" t="s">
        <v>781</v>
      </c>
      <c r="C342" s="8" t="s">
        <v>113</v>
      </c>
      <c r="D342" s="8" t="s">
        <v>235</v>
      </c>
      <c r="E342" s="8" t="s">
        <v>136</v>
      </c>
      <c r="F342" s="4" t="s">
        <v>737</v>
      </c>
      <c r="G342" s="8" t="s">
        <v>20</v>
      </c>
      <c r="H342" s="8" t="s">
        <v>324</v>
      </c>
      <c r="I342" s="8"/>
      <c r="J342" s="47">
        <v>0.1</v>
      </c>
      <c r="K342" s="8">
        <v>100</v>
      </c>
    </row>
    <row r="343" spans="1:11" x14ac:dyDescent="0.35">
      <c r="A343" s="8">
        <v>342</v>
      </c>
      <c r="B343" s="8" t="s">
        <v>782</v>
      </c>
      <c r="C343" s="8" t="s">
        <v>113</v>
      </c>
      <c r="D343" s="8" t="s">
        <v>235</v>
      </c>
      <c r="E343" s="8" t="s">
        <v>136</v>
      </c>
      <c r="F343" s="4" t="s">
        <v>738</v>
      </c>
      <c r="G343" s="8" t="s">
        <v>20</v>
      </c>
      <c r="H343" s="8" t="s">
        <v>324</v>
      </c>
      <c r="I343" s="8"/>
      <c r="J343" s="47">
        <v>0.1</v>
      </c>
      <c r="K343" s="8">
        <v>100</v>
      </c>
    </row>
    <row r="344" spans="1:11" x14ac:dyDescent="0.35">
      <c r="A344" s="8">
        <v>343</v>
      </c>
      <c r="B344" s="8" t="s">
        <v>783</v>
      </c>
      <c r="C344" s="8" t="s">
        <v>113</v>
      </c>
      <c r="D344" s="8" t="s">
        <v>235</v>
      </c>
      <c r="E344" s="8" t="s">
        <v>136</v>
      </c>
      <c r="F344" s="4" t="s">
        <v>739</v>
      </c>
      <c r="G344" s="8" t="s">
        <v>20</v>
      </c>
      <c r="H344" s="8" t="s">
        <v>324</v>
      </c>
      <c r="I344" s="8"/>
      <c r="J344" s="47">
        <v>0.1</v>
      </c>
      <c r="K344" s="8">
        <v>100</v>
      </c>
    </row>
    <row r="345" spans="1:11" x14ac:dyDescent="0.35">
      <c r="A345" s="8">
        <v>344</v>
      </c>
      <c r="B345" s="8" t="s">
        <v>784</v>
      </c>
      <c r="C345" s="8" t="s">
        <v>113</v>
      </c>
      <c r="D345" s="8" t="s">
        <v>235</v>
      </c>
      <c r="E345" s="8" t="s">
        <v>136</v>
      </c>
      <c r="F345" s="4" t="s">
        <v>740</v>
      </c>
      <c r="G345" s="8" t="s">
        <v>20</v>
      </c>
      <c r="H345" s="8" t="s">
        <v>324</v>
      </c>
      <c r="I345" s="8"/>
      <c r="J345" s="47">
        <v>0.1</v>
      </c>
      <c r="K345" s="8">
        <v>100</v>
      </c>
    </row>
    <row r="346" spans="1:11" x14ac:dyDescent="0.35">
      <c r="A346" s="8">
        <v>345</v>
      </c>
      <c r="B346" s="8" t="s">
        <v>785</v>
      </c>
      <c r="C346" s="8" t="s">
        <v>113</v>
      </c>
      <c r="D346" s="8" t="s">
        <v>235</v>
      </c>
      <c r="E346" s="8" t="s">
        <v>136</v>
      </c>
      <c r="F346" s="4" t="s">
        <v>741</v>
      </c>
      <c r="G346" s="8" t="s">
        <v>20</v>
      </c>
      <c r="H346" s="8" t="s">
        <v>324</v>
      </c>
      <c r="I346" s="8"/>
      <c r="J346" s="47">
        <v>0.1</v>
      </c>
      <c r="K346" s="8">
        <v>100</v>
      </c>
    </row>
    <row r="347" spans="1:11" x14ac:dyDescent="0.35">
      <c r="A347" s="8">
        <v>346</v>
      </c>
      <c r="B347" s="8" t="s">
        <v>786</v>
      </c>
      <c r="C347" s="8" t="s">
        <v>113</v>
      </c>
      <c r="D347" s="8" t="s">
        <v>235</v>
      </c>
      <c r="E347" s="8" t="s">
        <v>136</v>
      </c>
      <c r="F347" s="4" t="s">
        <v>742</v>
      </c>
      <c r="G347" s="8" t="s">
        <v>20</v>
      </c>
      <c r="H347" s="8" t="s">
        <v>324</v>
      </c>
      <c r="I347" s="8"/>
      <c r="J347" s="47">
        <v>0.1</v>
      </c>
      <c r="K347" s="8">
        <v>100</v>
      </c>
    </row>
    <row r="348" spans="1:11" x14ac:dyDescent="0.35">
      <c r="A348" s="8">
        <v>347</v>
      </c>
      <c r="B348" s="8" t="s">
        <v>852</v>
      </c>
      <c r="C348" s="8" t="s">
        <v>113</v>
      </c>
      <c r="D348" s="8" t="s">
        <v>235</v>
      </c>
      <c r="E348" s="8" t="s">
        <v>851</v>
      </c>
      <c r="F348" s="4" t="s">
        <v>787</v>
      </c>
      <c r="G348" s="8" t="s">
        <v>17</v>
      </c>
      <c r="H348" s="8"/>
      <c r="I348" s="8"/>
      <c r="J348" s="47">
        <v>0.1</v>
      </c>
      <c r="K348" s="8">
        <v>100</v>
      </c>
    </row>
    <row r="349" spans="1:11" x14ac:dyDescent="0.35">
      <c r="A349" s="8">
        <v>348</v>
      </c>
      <c r="B349" s="8" t="s">
        <v>853</v>
      </c>
      <c r="C349" s="8" t="s">
        <v>113</v>
      </c>
      <c r="D349" s="8" t="s">
        <v>235</v>
      </c>
      <c r="E349" s="8" t="s">
        <v>851</v>
      </c>
      <c r="F349" s="4" t="s">
        <v>788</v>
      </c>
      <c r="G349" s="8" t="s">
        <v>17</v>
      </c>
      <c r="H349" s="8"/>
      <c r="I349" s="8"/>
      <c r="J349" s="47">
        <v>0.1</v>
      </c>
      <c r="K349" s="8">
        <v>100</v>
      </c>
    </row>
    <row r="350" spans="1:11" x14ac:dyDescent="0.35">
      <c r="A350" s="8">
        <v>349</v>
      </c>
      <c r="B350" s="8" t="s">
        <v>854</v>
      </c>
      <c r="C350" s="8" t="s">
        <v>113</v>
      </c>
      <c r="D350" s="8" t="s">
        <v>235</v>
      </c>
      <c r="E350" s="8" t="s">
        <v>851</v>
      </c>
      <c r="F350" s="4" t="s">
        <v>789</v>
      </c>
      <c r="G350" s="8" t="s">
        <v>17</v>
      </c>
      <c r="H350" s="8"/>
      <c r="I350" s="8"/>
      <c r="J350" s="47">
        <v>0.1</v>
      </c>
      <c r="K350" s="8">
        <v>100</v>
      </c>
    </row>
    <row r="351" spans="1:11" x14ac:dyDescent="0.35">
      <c r="A351" s="8">
        <v>350</v>
      </c>
      <c r="B351" s="8" t="s">
        <v>855</v>
      </c>
      <c r="C351" s="8" t="s">
        <v>113</v>
      </c>
      <c r="D351" s="8" t="s">
        <v>235</v>
      </c>
      <c r="E351" s="8" t="s">
        <v>851</v>
      </c>
      <c r="F351" s="4" t="s">
        <v>790</v>
      </c>
      <c r="G351" s="8" t="s">
        <v>17</v>
      </c>
      <c r="H351" s="8"/>
      <c r="I351" s="8"/>
      <c r="J351" s="47">
        <v>0.1</v>
      </c>
      <c r="K351" s="8">
        <v>100</v>
      </c>
    </row>
    <row r="352" spans="1:11" x14ac:dyDescent="0.35">
      <c r="A352" s="8">
        <v>351</v>
      </c>
      <c r="B352" s="8" t="s">
        <v>856</v>
      </c>
      <c r="C352" s="8" t="s">
        <v>113</v>
      </c>
      <c r="D352" s="8" t="s">
        <v>235</v>
      </c>
      <c r="E352" s="8" t="s">
        <v>851</v>
      </c>
      <c r="F352" s="4" t="s">
        <v>791</v>
      </c>
      <c r="G352" s="8" t="s">
        <v>17</v>
      </c>
      <c r="H352" s="8"/>
      <c r="I352" s="8"/>
      <c r="J352" s="47">
        <v>0.1</v>
      </c>
      <c r="K352" s="8">
        <v>100</v>
      </c>
    </row>
    <row r="353" spans="1:11" x14ac:dyDescent="0.35">
      <c r="A353" s="8">
        <v>352</v>
      </c>
      <c r="B353" s="8" t="s">
        <v>857</v>
      </c>
      <c r="C353" s="8" t="s">
        <v>113</v>
      </c>
      <c r="D353" s="8" t="s">
        <v>235</v>
      </c>
      <c r="E353" s="8" t="s">
        <v>851</v>
      </c>
      <c r="F353" s="4" t="s">
        <v>792</v>
      </c>
      <c r="G353" s="8" t="s">
        <v>17</v>
      </c>
      <c r="H353" s="8"/>
      <c r="I353" s="8"/>
      <c r="J353" s="47">
        <v>0.1</v>
      </c>
      <c r="K353" s="8">
        <v>100</v>
      </c>
    </row>
    <row r="354" spans="1:11" x14ac:dyDescent="0.35">
      <c r="A354" s="8">
        <v>353</v>
      </c>
      <c r="B354" s="8" t="s">
        <v>858</v>
      </c>
      <c r="C354" s="8" t="s">
        <v>113</v>
      </c>
      <c r="D354" s="8" t="s">
        <v>235</v>
      </c>
      <c r="E354" s="8" t="s">
        <v>851</v>
      </c>
      <c r="F354" s="4" t="s">
        <v>793</v>
      </c>
      <c r="G354" s="8" t="s">
        <v>17</v>
      </c>
      <c r="H354" s="8"/>
      <c r="I354" s="8"/>
      <c r="J354" s="47">
        <v>0.1</v>
      </c>
      <c r="K354" s="8">
        <v>100</v>
      </c>
    </row>
    <row r="355" spans="1:11" x14ac:dyDescent="0.35">
      <c r="A355" s="8">
        <v>354</v>
      </c>
      <c r="B355" s="8" t="s">
        <v>859</v>
      </c>
      <c r="C355" s="8" t="s">
        <v>113</v>
      </c>
      <c r="D355" s="8" t="s">
        <v>235</v>
      </c>
      <c r="E355" s="8" t="s">
        <v>851</v>
      </c>
      <c r="F355" s="4" t="s">
        <v>794</v>
      </c>
      <c r="G355" s="8" t="s">
        <v>17</v>
      </c>
      <c r="H355" s="8"/>
      <c r="I355" s="8"/>
      <c r="J355" s="47">
        <v>0.1</v>
      </c>
      <c r="K355" s="8">
        <v>100</v>
      </c>
    </row>
    <row r="356" spans="1:11" x14ac:dyDescent="0.35">
      <c r="A356" s="8">
        <v>355</v>
      </c>
      <c r="B356" s="8" t="s">
        <v>860</v>
      </c>
      <c r="C356" s="8" t="s">
        <v>113</v>
      </c>
      <c r="D356" s="8" t="s">
        <v>235</v>
      </c>
      <c r="E356" s="8" t="s">
        <v>851</v>
      </c>
      <c r="F356" s="4" t="s">
        <v>795</v>
      </c>
      <c r="G356" s="8" t="s">
        <v>17</v>
      </c>
      <c r="H356" s="8"/>
      <c r="I356" s="8"/>
      <c r="J356" s="47">
        <v>0.1</v>
      </c>
      <c r="K356" s="8">
        <v>100</v>
      </c>
    </row>
    <row r="357" spans="1:11" x14ac:dyDescent="0.35">
      <c r="A357" s="8">
        <v>356</v>
      </c>
      <c r="B357" s="8" t="s">
        <v>861</v>
      </c>
      <c r="C357" s="8" t="s">
        <v>113</v>
      </c>
      <c r="D357" s="8" t="s">
        <v>235</v>
      </c>
      <c r="E357" s="8" t="s">
        <v>851</v>
      </c>
      <c r="F357" s="4" t="s">
        <v>796</v>
      </c>
      <c r="G357" s="8" t="s">
        <v>17</v>
      </c>
      <c r="H357" s="8"/>
      <c r="I357" s="8"/>
      <c r="J357" s="47">
        <v>0.1</v>
      </c>
      <c r="K357" s="8">
        <v>100</v>
      </c>
    </row>
    <row r="358" spans="1:11" x14ac:dyDescent="0.35">
      <c r="A358" s="8">
        <v>357</v>
      </c>
      <c r="B358" s="8" t="s">
        <v>862</v>
      </c>
      <c r="C358" s="8" t="s">
        <v>113</v>
      </c>
      <c r="D358" s="8" t="s">
        <v>235</v>
      </c>
      <c r="E358" s="8" t="s">
        <v>851</v>
      </c>
      <c r="F358" s="4" t="s">
        <v>797</v>
      </c>
      <c r="G358" s="8" t="s">
        <v>17</v>
      </c>
      <c r="H358" s="8"/>
      <c r="I358" s="8"/>
      <c r="J358" s="47">
        <v>0.1</v>
      </c>
      <c r="K358" s="8">
        <v>100</v>
      </c>
    </row>
    <row r="359" spans="1:11" x14ac:dyDescent="0.35">
      <c r="A359" s="8">
        <v>358</v>
      </c>
      <c r="B359" s="8" t="s">
        <v>863</v>
      </c>
      <c r="C359" s="8" t="s">
        <v>113</v>
      </c>
      <c r="D359" s="8" t="s">
        <v>235</v>
      </c>
      <c r="E359" s="8" t="s">
        <v>851</v>
      </c>
      <c r="F359" s="4" t="s">
        <v>798</v>
      </c>
      <c r="G359" s="8" t="s">
        <v>17</v>
      </c>
      <c r="H359" s="8"/>
      <c r="I359" s="8"/>
      <c r="J359" s="47">
        <v>0.1</v>
      </c>
      <c r="K359" s="8">
        <v>100</v>
      </c>
    </row>
    <row r="360" spans="1:11" x14ac:dyDescent="0.35">
      <c r="A360" s="8">
        <v>359</v>
      </c>
      <c r="B360" s="8" t="s">
        <v>864</v>
      </c>
      <c r="C360" s="8" t="s">
        <v>113</v>
      </c>
      <c r="D360" s="8" t="s">
        <v>235</v>
      </c>
      <c r="E360" s="8" t="s">
        <v>851</v>
      </c>
      <c r="F360" s="4" t="s">
        <v>799</v>
      </c>
      <c r="G360" s="8" t="s">
        <v>17</v>
      </c>
      <c r="H360" s="8"/>
      <c r="I360" s="8"/>
      <c r="J360" s="47">
        <v>0.1</v>
      </c>
      <c r="K360" s="8">
        <v>100</v>
      </c>
    </row>
    <row r="361" spans="1:11" x14ac:dyDescent="0.35">
      <c r="A361" s="8">
        <v>360</v>
      </c>
      <c r="B361" s="8" t="s">
        <v>865</v>
      </c>
      <c r="C361" s="8" t="s">
        <v>113</v>
      </c>
      <c r="D361" s="8" t="s">
        <v>235</v>
      </c>
      <c r="E361" s="8" t="s">
        <v>851</v>
      </c>
      <c r="F361" s="4" t="s">
        <v>800</v>
      </c>
      <c r="G361" s="8" t="s">
        <v>17</v>
      </c>
      <c r="H361" s="8"/>
      <c r="I361" s="8"/>
      <c r="J361" s="47">
        <v>0.1</v>
      </c>
      <c r="K361" s="8">
        <v>100</v>
      </c>
    </row>
    <row r="362" spans="1:11" x14ac:dyDescent="0.35">
      <c r="A362" s="8">
        <v>361</v>
      </c>
      <c r="B362" s="8" t="s">
        <v>866</v>
      </c>
      <c r="C362" s="8" t="s">
        <v>113</v>
      </c>
      <c r="D362" s="8" t="s">
        <v>235</v>
      </c>
      <c r="E362" s="8" t="s">
        <v>851</v>
      </c>
      <c r="F362" s="4" t="s">
        <v>801</v>
      </c>
      <c r="G362" s="8" t="s">
        <v>17</v>
      </c>
      <c r="H362" s="8"/>
      <c r="I362" s="8"/>
      <c r="J362" s="47">
        <v>0.1</v>
      </c>
      <c r="K362" s="8">
        <v>100</v>
      </c>
    </row>
    <row r="363" spans="1:11" x14ac:dyDescent="0.35">
      <c r="A363" s="8">
        <v>362</v>
      </c>
      <c r="B363" s="8" t="s">
        <v>867</v>
      </c>
      <c r="C363" s="8" t="s">
        <v>113</v>
      </c>
      <c r="D363" s="8" t="s">
        <v>235</v>
      </c>
      <c r="E363" s="8" t="s">
        <v>851</v>
      </c>
      <c r="F363" s="4" t="s">
        <v>802</v>
      </c>
      <c r="G363" s="8" t="s">
        <v>17</v>
      </c>
      <c r="H363" s="8"/>
      <c r="I363" s="8"/>
      <c r="J363" s="47">
        <v>0.1</v>
      </c>
      <c r="K363" s="8">
        <v>100</v>
      </c>
    </row>
    <row r="364" spans="1:11" x14ac:dyDescent="0.35">
      <c r="A364" s="8">
        <v>363</v>
      </c>
      <c r="B364" s="8" t="s">
        <v>868</v>
      </c>
      <c r="C364" s="8" t="s">
        <v>113</v>
      </c>
      <c r="D364" s="8" t="s">
        <v>235</v>
      </c>
      <c r="E364" s="8" t="s">
        <v>851</v>
      </c>
      <c r="F364" s="4" t="s">
        <v>803</v>
      </c>
      <c r="G364" s="8" t="s">
        <v>17</v>
      </c>
      <c r="H364" s="8"/>
      <c r="I364" s="8"/>
      <c r="J364" s="47">
        <v>0.1</v>
      </c>
      <c r="K364" s="8">
        <v>100</v>
      </c>
    </row>
    <row r="365" spans="1:11" x14ac:dyDescent="0.35">
      <c r="A365" s="8">
        <v>364</v>
      </c>
      <c r="B365" s="8" t="s">
        <v>869</v>
      </c>
      <c r="C365" s="8" t="s">
        <v>113</v>
      </c>
      <c r="D365" s="8" t="s">
        <v>235</v>
      </c>
      <c r="E365" s="8" t="s">
        <v>851</v>
      </c>
      <c r="F365" s="4" t="s">
        <v>804</v>
      </c>
      <c r="G365" s="8" t="s">
        <v>17</v>
      </c>
      <c r="H365" s="8"/>
      <c r="I365" s="8"/>
      <c r="J365" s="47">
        <v>0.1</v>
      </c>
      <c r="K365" s="8">
        <v>100</v>
      </c>
    </row>
    <row r="366" spans="1:11" x14ac:dyDescent="0.35">
      <c r="A366" s="8">
        <v>365</v>
      </c>
      <c r="B366" s="8" t="s">
        <v>870</v>
      </c>
      <c r="C366" s="8" t="s">
        <v>113</v>
      </c>
      <c r="D366" s="8" t="s">
        <v>235</v>
      </c>
      <c r="E366" s="8" t="s">
        <v>851</v>
      </c>
      <c r="F366" s="4" t="s">
        <v>805</v>
      </c>
      <c r="G366" s="8" t="s">
        <v>17</v>
      </c>
      <c r="H366" s="8"/>
      <c r="I366" s="8"/>
      <c r="J366" s="47">
        <v>0.1</v>
      </c>
      <c r="K366" s="8">
        <v>100</v>
      </c>
    </row>
    <row r="367" spans="1:11" x14ac:dyDescent="0.35">
      <c r="A367" s="8">
        <v>366</v>
      </c>
      <c r="B367" s="8" t="s">
        <v>871</v>
      </c>
      <c r="C367" s="8" t="s">
        <v>113</v>
      </c>
      <c r="D367" s="8" t="s">
        <v>235</v>
      </c>
      <c r="E367" s="8" t="s">
        <v>851</v>
      </c>
      <c r="F367" s="4" t="s">
        <v>806</v>
      </c>
      <c r="G367" s="8" t="s">
        <v>17</v>
      </c>
      <c r="H367" s="8"/>
      <c r="I367" s="8"/>
      <c r="J367" s="47">
        <v>0.1</v>
      </c>
      <c r="K367" s="8">
        <v>100</v>
      </c>
    </row>
    <row r="368" spans="1:11" x14ac:dyDescent="0.35">
      <c r="A368" s="8">
        <v>367</v>
      </c>
      <c r="B368" s="8" t="s">
        <v>872</v>
      </c>
      <c r="C368" s="8" t="s">
        <v>113</v>
      </c>
      <c r="D368" s="8" t="s">
        <v>235</v>
      </c>
      <c r="E368" s="8" t="s">
        <v>851</v>
      </c>
      <c r="F368" s="4" t="s">
        <v>807</v>
      </c>
      <c r="G368" s="8" t="s">
        <v>17</v>
      </c>
      <c r="H368" s="8"/>
      <c r="I368" s="8"/>
      <c r="J368" s="47">
        <v>0.1</v>
      </c>
      <c r="K368" s="8">
        <v>100</v>
      </c>
    </row>
    <row r="369" spans="1:11" x14ac:dyDescent="0.35">
      <c r="A369" s="8">
        <v>368</v>
      </c>
      <c r="B369" s="8" t="s">
        <v>873</v>
      </c>
      <c r="C369" s="8" t="s">
        <v>113</v>
      </c>
      <c r="D369" s="8" t="s">
        <v>235</v>
      </c>
      <c r="E369" s="8" t="s">
        <v>851</v>
      </c>
      <c r="F369" s="4" t="s">
        <v>808</v>
      </c>
      <c r="G369" s="8" t="s">
        <v>17</v>
      </c>
      <c r="H369" s="8"/>
      <c r="I369" s="8"/>
      <c r="J369" s="47">
        <v>0.1</v>
      </c>
      <c r="K369" s="8">
        <v>100</v>
      </c>
    </row>
    <row r="370" spans="1:11" x14ac:dyDescent="0.35">
      <c r="A370" s="8">
        <v>369</v>
      </c>
      <c r="B370" s="8" t="s">
        <v>874</v>
      </c>
      <c r="C370" s="8" t="s">
        <v>113</v>
      </c>
      <c r="D370" s="8" t="s">
        <v>235</v>
      </c>
      <c r="E370" s="8" t="s">
        <v>851</v>
      </c>
      <c r="F370" s="4" t="s">
        <v>809</v>
      </c>
      <c r="G370" s="8" t="s">
        <v>17</v>
      </c>
      <c r="H370" s="8"/>
      <c r="I370" s="8"/>
      <c r="J370" s="47">
        <v>0.1</v>
      </c>
      <c r="K370" s="8">
        <v>100</v>
      </c>
    </row>
    <row r="371" spans="1:11" x14ac:dyDescent="0.35">
      <c r="A371" s="8">
        <v>370</v>
      </c>
      <c r="B371" s="8" t="s">
        <v>875</v>
      </c>
      <c r="C371" s="8" t="s">
        <v>113</v>
      </c>
      <c r="D371" s="8" t="s">
        <v>235</v>
      </c>
      <c r="E371" s="8" t="s">
        <v>851</v>
      </c>
      <c r="F371" s="4" t="s">
        <v>810</v>
      </c>
      <c r="G371" s="8" t="s">
        <v>17</v>
      </c>
      <c r="H371" s="8"/>
      <c r="I371" s="8"/>
      <c r="J371" s="47">
        <v>0.1</v>
      </c>
      <c r="K371" s="8">
        <v>100</v>
      </c>
    </row>
    <row r="372" spans="1:11" x14ac:dyDescent="0.35">
      <c r="A372" s="8">
        <v>371</v>
      </c>
      <c r="B372" s="8" t="s">
        <v>876</v>
      </c>
      <c r="C372" s="8" t="s">
        <v>113</v>
      </c>
      <c r="D372" s="8" t="s">
        <v>235</v>
      </c>
      <c r="E372" s="8" t="s">
        <v>851</v>
      </c>
      <c r="F372" s="4" t="s">
        <v>811</v>
      </c>
      <c r="G372" s="8" t="s">
        <v>17</v>
      </c>
      <c r="H372" s="8"/>
      <c r="I372" s="8"/>
      <c r="J372" s="47">
        <v>0.1</v>
      </c>
      <c r="K372" s="8">
        <v>100</v>
      </c>
    </row>
    <row r="373" spans="1:11" x14ac:dyDescent="0.35">
      <c r="A373" s="8">
        <v>372</v>
      </c>
      <c r="B373" s="8" t="s">
        <v>877</v>
      </c>
      <c r="C373" s="8" t="s">
        <v>113</v>
      </c>
      <c r="D373" s="8" t="s">
        <v>235</v>
      </c>
      <c r="E373" s="8" t="s">
        <v>851</v>
      </c>
      <c r="F373" s="4" t="s">
        <v>812</v>
      </c>
      <c r="G373" s="8" t="s">
        <v>17</v>
      </c>
      <c r="H373" s="8"/>
      <c r="I373" s="8"/>
      <c r="J373" s="47">
        <v>0.1</v>
      </c>
      <c r="K373" s="8">
        <v>100</v>
      </c>
    </row>
    <row r="374" spans="1:11" x14ac:dyDescent="0.35">
      <c r="A374" s="8">
        <v>373</v>
      </c>
      <c r="B374" s="8" t="s">
        <v>878</v>
      </c>
      <c r="C374" s="8" t="s">
        <v>113</v>
      </c>
      <c r="D374" s="8" t="s">
        <v>235</v>
      </c>
      <c r="E374" s="8" t="s">
        <v>851</v>
      </c>
      <c r="F374" s="4" t="s">
        <v>813</v>
      </c>
      <c r="G374" s="8" t="s">
        <v>17</v>
      </c>
      <c r="H374" s="8"/>
      <c r="I374" s="8"/>
      <c r="J374" s="47">
        <v>0.1</v>
      </c>
      <c r="K374" s="8">
        <v>100</v>
      </c>
    </row>
    <row r="375" spans="1:11" x14ac:dyDescent="0.35">
      <c r="A375" s="8">
        <v>374</v>
      </c>
      <c r="B375" s="8" t="s">
        <v>879</v>
      </c>
      <c r="C375" s="8" t="s">
        <v>113</v>
      </c>
      <c r="D375" s="8" t="s">
        <v>235</v>
      </c>
      <c r="E375" s="8" t="s">
        <v>851</v>
      </c>
      <c r="F375" s="4" t="s">
        <v>814</v>
      </c>
      <c r="G375" s="8" t="s">
        <v>17</v>
      </c>
      <c r="H375" s="8"/>
      <c r="I375" s="8"/>
      <c r="J375" s="47">
        <v>0.1</v>
      </c>
      <c r="K375" s="8">
        <v>100</v>
      </c>
    </row>
    <row r="376" spans="1:11" x14ac:dyDescent="0.35">
      <c r="A376" s="8">
        <v>375</v>
      </c>
      <c r="B376" s="8" t="s">
        <v>880</v>
      </c>
      <c r="C376" s="8" t="s">
        <v>113</v>
      </c>
      <c r="D376" s="8" t="s">
        <v>235</v>
      </c>
      <c r="E376" s="8" t="s">
        <v>851</v>
      </c>
      <c r="F376" s="4" t="s">
        <v>815</v>
      </c>
      <c r="G376" s="8" t="s">
        <v>17</v>
      </c>
      <c r="H376" s="8"/>
      <c r="I376" s="8"/>
      <c r="J376" s="47">
        <v>0.1</v>
      </c>
      <c r="K376" s="8">
        <v>100</v>
      </c>
    </row>
    <row r="377" spans="1:11" x14ac:dyDescent="0.35">
      <c r="A377" s="8">
        <v>376</v>
      </c>
      <c r="B377" s="8" t="s">
        <v>881</v>
      </c>
      <c r="C377" s="8" t="s">
        <v>113</v>
      </c>
      <c r="D377" s="8" t="s">
        <v>235</v>
      </c>
      <c r="E377" s="8" t="s">
        <v>851</v>
      </c>
      <c r="F377" s="4" t="s">
        <v>816</v>
      </c>
      <c r="G377" s="8" t="s">
        <v>17</v>
      </c>
      <c r="H377" s="8"/>
      <c r="I377" s="8"/>
      <c r="J377" s="47">
        <v>0.1</v>
      </c>
      <c r="K377" s="8">
        <v>100</v>
      </c>
    </row>
    <row r="378" spans="1:11" x14ac:dyDescent="0.35">
      <c r="A378" s="8">
        <v>377</v>
      </c>
      <c r="B378" s="8" t="s">
        <v>882</v>
      </c>
      <c r="C378" s="8" t="s">
        <v>113</v>
      </c>
      <c r="D378" s="8" t="s">
        <v>235</v>
      </c>
      <c r="E378" s="8" t="s">
        <v>851</v>
      </c>
      <c r="F378" s="4" t="s">
        <v>817</v>
      </c>
      <c r="G378" s="8" t="s">
        <v>17</v>
      </c>
      <c r="H378" s="8"/>
      <c r="I378" s="8"/>
      <c r="J378" s="47">
        <v>0.1</v>
      </c>
      <c r="K378" s="8">
        <v>100</v>
      </c>
    </row>
    <row r="379" spans="1:11" x14ac:dyDescent="0.35">
      <c r="A379" s="8">
        <v>378</v>
      </c>
      <c r="B379" s="8" t="s">
        <v>883</v>
      </c>
      <c r="C379" s="8" t="s">
        <v>113</v>
      </c>
      <c r="D379" s="8" t="s">
        <v>235</v>
      </c>
      <c r="E379" s="8" t="s">
        <v>851</v>
      </c>
      <c r="F379" s="4" t="s">
        <v>818</v>
      </c>
      <c r="G379" s="8" t="s">
        <v>17</v>
      </c>
      <c r="H379" s="8"/>
      <c r="I379" s="8"/>
      <c r="J379" s="47">
        <v>0.1</v>
      </c>
      <c r="K379" s="8">
        <v>100</v>
      </c>
    </row>
    <row r="380" spans="1:11" x14ac:dyDescent="0.35">
      <c r="A380" s="8">
        <v>379</v>
      </c>
      <c r="B380" s="8" t="s">
        <v>884</v>
      </c>
      <c r="C380" s="8" t="s">
        <v>113</v>
      </c>
      <c r="D380" s="8" t="s">
        <v>235</v>
      </c>
      <c r="E380" s="8" t="s">
        <v>851</v>
      </c>
      <c r="F380" s="4" t="s">
        <v>819</v>
      </c>
      <c r="G380" s="8" t="s">
        <v>17</v>
      </c>
      <c r="H380" s="8"/>
      <c r="I380" s="8"/>
      <c r="J380" s="47">
        <v>0.1</v>
      </c>
      <c r="K380" s="8">
        <v>100</v>
      </c>
    </row>
    <row r="381" spans="1:11" x14ac:dyDescent="0.35">
      <c r="A381" s="8">
        <v>380</v>
      </c>
      <c r="B381" s="8" t="s">
        <v>885</v>
      </c>
      <c r="C381" s="8" t="s">
        <v>113</v>
      </c>
      <c r="D381" s="8" t="s">
        <v>235</v>
      </c>
      <c r="E381" s="8" t="s">
        <v>851</v>
      </c>
      <c r="F381" s="4" t="s">
        <v>820</v>
      </c>
      <c r="G381" s="8" t="s">
        <v>17</v>
      </c>
      <c r="H381" s="8"/>
      <c r="I381" s="8"/>
      <c r="J381" s="47">
        <v>0.1</v>
      </c>
      <c r="K381" s="8">
        <v>100</v>
      </c>
    </row>
    <row r="382" spans="1:11" x14ac:dyDescent="0.35">
      <c r="A382" s="8">
        <v>381</v>
      </c>
      <c r="B382" s="8" t="s">
        <v>886</v>
      </c>
      <c r="C382" s="8" t="s">
        <v>113</v>
      </c>
      <c r="D382" s="8" t="s">
        <v>235</v>
      </c>
      <c r="E382" s="8" t="s">
        <v>851</v>
      </c>
      <c r="F382" s="4" t="s">
        <v>821</v>
      </c>
      <c r="G382" s="8" t="s">
        <v>17</v>
      </c>
      <c r="H382" s="8"/>
      <c r="I382" s="8"/>
      <c r="J382" s="47">
        <v>0.1</v>
      </c>
      <c r="K382" s="8">
        <v>100</v>
      </c>
    </row>
    <row r="383" spans="1:11" x14ac:dyDescent="0.35">
      <c r="A383" s="8">
        <v>382</v>
      </c>
      <c r="B383" s="8" t="s">
        <v>887</v>
      </c>
      <c r="C383" s="8" t="s">
        <v>113</v>
      </c>
      <c r="D383" s="8" t="s">
        <v>235</v>
      </c>
      <c r="E383" s="8" t="s">
        <v>851</v>
      </c>
      <c r="F383" s="4" t="s">
        <v>822</v>
      </c>
      <c r="G383" s="8" t="s">
        <v>17</v>
      </c>
      <c r="H383" s="8"/>
      <c r="I383" s="8"/>
      <c r="J383" s="47">
        <v>0.1</v>
      </c>
      <c r="K383" s="8">
        <v>100</v>
      </c>
    </row>
    <row r="384" spans="1:11" x14ac:dyDescent="0.35">
      <c r="A384" s="8">
        <v>383</v>
      </c>
      <c r="B384" s="8" t="s">
        <v>888</v>
      </c>
      <c r="C384" s="8" t="s">
        <v>113</v>
      </c>
      <c r="D384" s="8" t="s">
        <v>235</v>
      </c>
      <c r="E384" s="8" t="s">
        <v>851</v>
      </c>
      <c r="F384" s="4" t="s">
        <v>823</v>
      </c>
      <c r="G384" s="8" t="s">
        <v>17</v>
      </c>
      <c r="H384" s="8"/>
      <c r="I384" s="8"/>
      <c r="J384" s="47">
        <v>0.1</v>
      </c>
      <c r="K384" s="8">
        <v>100</v>
      </c>
    </row>
    <row r="385" spans="1:11" x14ac:dyDescent="0.35">
      <c r="A385" s="8">
        <v>384</v>
      </c>
      <c r="B385" s="8" t="s">
        <v>889</v>
      </c>
      <c r="C385" s="8" t="s">
        <v>113</v>
      </c>
      <c r="D385" s="8" t="s">
        <v>235</v>
      </c>
      <c r="E385" s="8" t="s">
        <v>851</v>
      </c>
      <c r="F385" s="4" t="s">
        <v>824</v>
      </c>
      <c r="G385" s="8" t="s">
        <v>17</v>
      </c>
      <c r="H385" s="8"/>
      <c r="I385" s="8"/>
      <c r="J385" s="47">
        <v>0.1</v>
      </c>
      <c r="K385" s="8">
        <v>100</v>
      </c>
    </row>
    <row r="386" spans="1:11" x14ac:dyDescent="0.35">
      <c r="A386" s="8">
        <v>385</v>
      </c>
      <c r="B386" s="8" t="s">
        <v>890</v>
      </c>
      <c r="C386" s="8" t="s">
        <v>113</v>
      </c>
      <c r="D386" s="8" t="s">
        <v>235</v>
      </c>
      <c r="E386" s="8" t="s">
        <v>851</v>
      </c>
      <c r="F386" s="4" t="s">
        <v>825</v>
      </c>
      <c r="G386" s="8" t="s">
        <v>17</v>
      </c>
      <c r="H386" s="8"/>
      <c r="I386" s="8"/>
      <c r="J386" s="47">
        <v>0.1</v>
      </c>
      <c r="K386" s="8">
        <v>100</v>
      </c>
    </row>
    <row r="387" spans="1:11" x14ac:dyDescent="0.35">
      <c r="A387" s="8">
        <v>386</v>
      </c>
      <c r="B387" s="8" t="s">
        <v>891</v>
      </c>
      <c r="C387" s="8" t="s">
        <v>113</v>
      </c>
      <c r="D387" s="8" t="s">
        <v>235</v>
      </c>
      <c r="E387" s="8" t="s">
        <v>851</v>
      </c>
      <c r="F387" s="4" t="s">
        <v>826</v>
      </c>
      <c r="G387" s="8" t="s">
        <v>17</v>
      </c>
      <c r="H387" s="8"/>
      <c r="I387" s="8"/>
      <c r="J387" s="47">
        <v>0.1</v>
      </c>
      <c r="K387" s="8">
        <v>100</v>
      </c>
    </row>
    <row r="388" spans="1:11" x14ac:dyDescent="0.35">
      <c r="A388" s="8">
        <v>387</v>
      </c>
      <c r="B388" s="8" t="s">
        <v>892</v>
      </c>
      <c r="C388" s="8" t="s">
        <v>113</v>
      </c>
      <c r="D388" s="8" t="s">
        <v>235</v>
      </c>
      <c r="E388" s="8" t="s">
        <v>851</v>
      </c>
      <c r="F388" s="4" t="s">
        <v>827</v>
      </c>
      <c r="G388" s="8" t="s">
        <v>17</v>
      </c>
      <c r="H388" s="8"/>
      <c r="I388" s="8"/>
      <c r="J388" s="47">
        <v>0.1</v>
      </c>
      <c r="K388" s="8">
        <v>100</v>
      </c>
    </row>
    <row r="389" spans="1:11" x14ac:dyDescent="0.35">
      <c r="A389" s="8">
        <v>388</v>
      </c>
      <c r="B389" s="8" t="s">
        <v>893</v>
      </c>
      <c r="C389" s="8" t="s">
        <v>113</v>
      </c>
      <c r="D389" s="8" t="s">
        <v>235</v>
      </c>
      <c r="E389" s="8" t="s">
        <v>851</v>
      </c>
      <c r="F389" s="4" t="s">
        <v>828</v>
      </c>
      <c r="G389" s="8" t="s">
        <v>17</v>
      </c>
      <c r="H389" s="8"/>
      <c r="I389" s="8"/>
      <c r="J389" s="47">
        <v>0.1</v>
      </c>
      <c r="K389" s="8">
        <v>100</v>
      </c>
    </row>
    <row r="390" spans="1:11" x14ac:dyDescent="0.35">
      <c r="A390" s="8">
        <v>389</v>
      </c>
      <c r="B390" s="8" t="s">
        <v>894</v>
      </c>
      <c r="C390" s="8" t="s">
        <v>113</v>
      </c>
      <c r="D390" s="8" t="s">
        <v>235</v>
      </c>
      <c r="E390" s="8" t="s">
        <v>851</v>
      </c>
      <c r="F390" s="4" t="s">
        <v>829</v>
      </c>
      <c r="G390" s="8" t="s">
        <v>17</v>
      </c>
      <c r="H390" s="8"/>
      <c r="I390" s="8"/>
      <c r="J390" s="47">
        <v>0.1</v>
      </c>
      <c r="K390" s="8">
        <v>100</v>
      </c>
    </row>
    <row r="391" spans="1:11" x14ac:dyDescent="0.35">
      <c r="A391" s="8">
        <v>390</v>
      </c>
      <c r="B391" s="8" t="s">
        <v>895</v>
      </c>
      <c r="C391" s="8" t="s">
        <v>113</v>
      </c>
      <c r="D391" s="8" t="s">
        <v>235</v>
      </c>
      <c r="E391" s="8" t="s">
        <v>851</v>
      </c>
      <c r="F391" s="4" t="s">
        <v>830</v>
      </c>
      <c r="G391" s="8" t="s">
        <v>17</v>
      </c>
      <c r="H391" s="8"/>
      <c r="I391" s="8"/>
      <c r="J391" s="47">
        <v>0.1</v>
      </c>
      <c r="K391" s="8">
        <v>100</v>
      </c>
    </row>
    <row r="392" spans="1:11" x14ac:dyDescent="0.35">
      <c r="A392" s="8">
        <v>391</v>
      </c>
      <c r="B392" s="8" t="s">
        <v>896</v>
      </c>
      <c r="C392" s="8" t="s">
        <v>113</v>
      </c>
      <c r="D392" s="8" t="s">
        <v>235</v>
      </c>
      <c r="E392" s="8" t="s">
        <v>851</v>
      </c>
      <c r="F392" s="4" t="s">
        <v>831</v>
      </c>
      <c r="G392" s="8" t="s">
        <v>17</v>
      </c>
      <c r="H392" s="8"/>
      <c r="I392" s="8"/>
      <c r="J392" s="47">
        <v>0.1</v>
      </c>
      <c r="K392" s="8">
        <v>100</v>
      </c>
    </row>
    <row r="393" spans="1:11" x14ac:dyDescent="0.35">
      <c r="A393" s="8">
        <v>392</v>
      </c>
      <c r="B393" s="8" t="s">
        <v>897</v>
      </c>
      <c r="C393" s="8" t="s">
        <v>113</v>
      </c>
      <c r="D393" s="8" t="s">
        <v>235</v>
      </c>
      <c r="E393" s="8" t="s">
        <v>851</v>
      </c>
      <c r="F393" s="4" t="s">
        <v>832</v>
      </c>
      <c r="G393" s="8" t="s">
        <v>17</v>
      </c>
      <c r="H393" s="8"/>
      <c r="I393" s="8"/>
      <c r="J393" s="47">
        <v>0.1</v>
      </c>
      <c r="K393" s="8">
        <v>100</v>
      </c>
    </row>
    <row r="394" spans="1:11" x14ac:dyDescent="0.35">
      <c r="A394" s="8">
        <v>393</v>
      </c>
      <c r="B394" s="8" t="s">
        <v>898</v>
      </c>
      <c r="C394" s="8" t="s">
        <v>113</v>
      </c>
      <c r="D394" s="8" t="s">
        <v>235</v>
      </c>
      <c r="E394" s="8" t="s">
        <v>851</v>
      </c>
      <c r="F394" s="4" t="s">
        <v>833</v>
      </c>
      <c r="G394" s="8" t="s">
        <v>17</v>
      </c>
      <c r="H394" s="8"/>
      <c r="I394" s="8"/>
      <c r="J394" s="47">
        <v>0.1</v>
      </c>
      <c r="K394" s="8">
        <v>100</v>
      </c>
    </row>
    <row r="395" spans="1:11" x14ac:dyDescent="0.35">
      <c r="A395" s="8">
        <v>394</v>
      </c>
      <c r="B395" s="8" t="s">
        <v>899</v>
      </c>
      <c r="C395" s="8" t="s">
        <v>113</v>
      </c>
      <c r="D395" s="8" t="s">
        <v>235</v>
      </c>
      <c r="E395" s="8" t="s">
        <v>851</v>
      </c>
      <c r="F395" s="4" t="s">
        <v>834</v>
      </c>
      <c r="G395" s="8" t="s">
        <v>17</v>
      </c>
      <c r="H395" s="8"/>
      <c r="I395" s="8"/>
      <c r="J395" s="47">
        <v>0.1</v>
      </c>
      <c r="K395" s="8">
        <v>100</v>
      </c>
    </row>
    <row r="396" spans="1:11" x14ac:dyDescent="0.35">
      <c r="A396" s="8">
        <v>395</v>
      </c>
      <c r="B396" s="8" t="s">
        <v>900</v>
      </c>
      <c r="C396" s="8" t="s">
        <v>113</v>
      </c>
      <c r="D396" s="8" t="s">
        <v>235</v>
      </c>
      <c r="E396" s="8" t="s">
        <v>851</v>
      </c>
      <c r="F396" s="4" t="s">
        <v>835</v>
      </c>
      <c r="G396" s="8" t="s">
        <v>17</v>
      </c>
      <c r="H396" s="8"/>
      <c r="I396" s="8"/>
      <c r="J396" s="47">
        <v>0.1</v>
      </c>
      <c r="K396" s="8">
        <v>100</v>
      </c>
    </row>
    <row r="397" spans="1:11" x14ac:dyDescent="0.35">
      <c r="A397" s="8">
        <v>396</v>
      </c>
      <c r="B397" s="8" t="s">
        <v>901</v>
      </c>
      <c r="C397" s="8" t="s">
        <v>113</v>
      </c>
      <c r="D397" s="8" t="s">
        <v>235</v>
      </c>
      <c r="E397" s="8" t="s">
        <v>851</v>
      </c>
      <c r="F397" s="4" t="s">
        <v>836</v>
      </c>
      <c r="G397" s="8" t="s">
        <v>17</v>
      </c>
      <c r="H397" s="8"/>
      <c r="I397" s="8"/>
      <c r="J397" s="47">
        <v>0.1</v>
      </c>
      <c r="K397" s="8">
        <v>100</v>
      </c>
    </row>
    <row r="398" spans="1:11" x14ac:dyDescent="0.35">
      <c r="A398" s="8">
        <v>397</v>
      </c>
      <c r="B398" s="8" t="s">
        <v>902</v>
      </c>
      <c r="C398" s="8" t="s">
        <v>113</v>
      </c>
      <c r="D398" s="8" t="s">
        <v>235</v>
      </c>
      <c r="E398" s="8" t="s">
        <v>851</v>
      </c>
      <c r="F398" s="4" t="s">
        <v>837</v>
      </c>
      <c r="G398" s="8" t="s">
        <v>17</v>
      </c>
      <c r="H398" s="8"/>
      <c r="I398" s="8"/>
      <c r="J398" s="47">
        <v>0.1</v>
      </c>
      <c r="K398" s="8">
        <v>100</v>
      </c>
    </row>
    <row r="399" spans="1:11" x14ac:dyDescent="0.35">
      <c r="A399" s="8">
        <v>398</v>
      </c>
      <c r="B399" s="8" t="s">
        <v>903</v>
      </c>
      <c r="C399" s="8" t="s">
        <v>113</v>
      </c>
      <c r="D399" s="8" t="s">
        <v>235</v>
      </c>
      <c r="E399" s="8" t="s">
        <v>851</v>
      </c>
      <c r="F399" s="4" t="s">
        <v>838</v>
      </c>
      <c r="G399" s="8" t="s">
        <v>17</v>
      </c>
      <c r="H399" s="8"/>
      <c r="I399" s="8"/>
      <c r="J399" s="47">
        <v>0.1</v>
      </c>
      <c r="K399" s="8">
        <v>100</v>
      </c>
    </row>
    <row r="400" spans="1:11" x14ac:dyDescent="0.35">
      <c r="A400" s="8">
        <v>399</v>
      </c>
      <c r="B400" s="8" t="s">
        <v>904</v>
      </c>
      <c r="C400" s="8" t="s">
        <v>113</v>
      </c>
      <c r="D400" s="8" t="s">
        <v>235</v>
      </c>
      <c r="E400" s="8" t="s">
        <v>851</v>
      </c>
      <c r="F400" s="4" t="s">
        <v>839</v>
      </c>
      <c r="G400" s="8" t="s">
        <v>17</v>
      </c>
      <c r="H400" s="8"/>
      <c r="I400" s="8"/>
      <c r="J400" s="47">
        <v>0.1</v>
      </c>
      <c r="K400" s="8">
        <v>100</v>
      </c>
    </row>
    <row r="401" spans="1:11" x14ac:dyDescent="0.35">
      <c r="A401" s="8">
        <v>400</v>
      </c>
      <c r="B401" s="8" t="s">
        <v>905</v>
      </c>
      <c r="C401" s="8" t="s">
        <v>113</v>
      </c>
      <c r="D401" s="8" t="s">
        <v>235</v>
      </c>
      <c r="E401" s="8" t="s">
        <v>851</v>
      </c>
      <c r="F401" s="4" t="s">
        <v>840</v>
      </c>
      <c r="G401" s="8" t="s">
        <v>17</v>
      </c>
      <c r="H401" s="8"/>
      <c r="I401" s="8"/>
      <c r="J401" s="47">
        <v>0.1</v>
      </c>
      <c r="K401" s="8">
        <v>100</v>
      </c>
    </row>
    <row r="402" spans="1:11" x14ac:dyDescent="0.35">
      <c r="A402" s="8">
        <v>401</v>
      </c>
      <c r="B402" s="8" t="s">
        <v>906</v>
      </c>
      <c r="C402" s="8" t="s">
        <v>113</v>
      </c>
      <c r="D402" s="8" t="s">
        <v>235</v>
      </c>
      <c r="E402" s="8" t="s">
        <v>851</v>
      </c>
      <c r="F402" s="4" t="s">
        <v>841</v>
      </c>
      <c r="G402" s="8" t="s">
        <v>17</v>
      </c>
      <c r="H402" s="8"/>
      <c r="I402" s="8"/>
      <c r="J402" s="47">
        <v>0.1</v>
      </c>
      <c r="K402" s="8">
        <v>100</v>
      </c>
    </row>
    <row r="403" spans="1:11" x14ac:dyDescent="0.35">
      <c r="A403" s="8">
        <v>402</v>
      </c>
      <c r="B403" s="8" t="s">
        <v>907</v>
      </c>
      <c r="C403" s="8" t="s">
        <v>113</v>
      </c>
      <c r="D403" s="8" t="s">
        <v>235</v>
      </c>
      <c r="E403" s="8" t="s">
        <v>851</v>
      </c>
      <c r="F403" s="4" t="s">
        <v>842</v>
      </c>
      <c r="G403" s="8" t="s">
        <v>17</v>
      </c>
      <c r="H403" s="8"/>
      <c r="I403" s="8"/>
      <c r="J403" s="47">
        <v>0.1</v>
      </c>
      <c r="K403" s="8">
        <v>100</v>
      </c>
    </row>
    <row r="404" spans="1:11" x14ac:dyDescent="0.35">
      <c r="A404" s="8">
        <v>403</v>
      </c>
      <c r="B404" s="8" t="s">
        <v>908</v>
      </c>
      <c r="C404" s="8" t="s">
        <v>113</v>
      </c>
      <c r="D404" s="8" t="s">
        <v>235</v>
      </c>
      <c r="E404" s="8" t="s">
        <v>851</v>
      </c>
      <c r="F404" s="4" t="s">
        <v>843</v>
      </c>
      <c r="G404" s="8" t="s">
        <v>17</v>
      </c>
      <c r="H404" s="8"/>
      <c r="I404" s="8"/>
      <c r="J404" s="47">
        <v>0.1</v>
      </c>
      <c r="K404" s="8">
        <v>100</v>
      </c>
    </row>
    <row r="405" spans="1:11" x14ac:dyDescent="0.35">
      <c r="A405" s="8">
        <v>404</v>
      </c>
      <c r="B405" s="8" t="s">
        <v>909</v>
      </c>
      <c r="C405" s="8" t="s">
        <v>113</v>
      </c>
      <c r="D405" s="8" t="s">
        <v>235</v>
      </c>
      <c r="E405" s="8" t="s">
        <v>851</v>
      </c>
      <c r="F405" s="4" t="s">
        <v>844</v>
      </c>
      <c r="G405" s="8" t="s">
        <v>17</v>
      </c>
      <c r="H405" s="8"/>
      <c r="I405" s="8"/>
      <c r="J405" s="47">
        <v>0.1</v>
      </c>
      <c r="K405" s="8">
        <v>100</v>
      </c>
    </row>
    <row r="406" spans="1:11" x14ac:dyDescent="0.35">
      <c r="A406" s="8">
        <v>405</v>
      </c>
      <c r="B406" s="8" t="s">
        <v>910</v>
      </c>
      <c r="C406" s="8" t="s">
        <v>113</v>
      </c>
      <c r="D406" s="8" t="s">
        <v>235</v>
      </c>
      <c r="E406" s="8" t="s">
        <v>851</v>
      </c>
      <c r="F406" s="4" t="s">
        <v>845</v>
      </c>
      <c r="G406" s="8" t="s">
        <v>17</v>
      </c>
      <c r="H406" s="8"/>
      <c r="I406" s="8"/>
      <c r="J406" s="47">
        <v>0.1</v>
      </c>
      <c r="K406" s="8">
        <v>100</v>
      </c>
    </row>
    <row r="407" spans="1:11" x14ac:dyDescent="0.35">
      <c r="A407" s="8">
        <v>406</v>
      </c>
      <c r="B407" s="8" t="s">
        <v>911</v>
      </c>
      <c r="C407" s="8" t="s">
        <v>113</v>
      </c>
      <c r="D407" s="8" t="s">
        <v>235</v>
      </c>
      <c r="E407" s="8" t="s">
        <v>851</v>
      </c>
      <c r="F407" s="4" t="s">
        <v>846</v>
      </c>
      <c r="G407" s="8" t="s">
        <v>17</v>
      </c>
      <c r="H407" s="8"/>
      <c r="I407" s="8"/>
      <c r="J407" s="47">
        <v>0.1</v>
      </c>
      <c r="K407" s="8">
        <v>100</v>
      </c>
    </row>
    <row r="408" spans="1:11" x14ac:dyDescent="0.35">
      <c r="A408" s="8">
        <v>407</v>
      </c>
      <c r="B408" s="8" t="s">
        <v>912</v>
      </c>
      <c r="C408" s="8" t="s">
        <v>113</v>
      </c>
      <c r="D408" s="8" t="s">
        <v>235</v>
      </c>
      <c r="E408" s="8" t="s">
        <v>851</v>
      </c>
      <c r="F408" s="4" t="s">
        <v>847</v>
      </c>
      <c r="G408" s="8" t="s">
        <v>17</v>
      </c>
      <c r="H408" s="8"/>
      <c r="I408" s="8"/>
      <c r="J408" s="47">
        <v>0.1</v>
      </c>
      <c r="K408" s="8">
        <v>100</v>
      </c>
    </row>
    <row r="409" spans="1:11" x14ac:dyDescent="0.35">
      <c r="A409" s="8">
        <v>408</v>
      </c>
      <c r="B409" s="8" t="s">
        <v>913</v>
      </c>
      <c r="C409" s="8" t="s">
        <v>113</v>
      </c>
      <c r="D409" s="8" t="s">
        <v>235</v>
      </c>
      <c r="E409" s="8" t="s">
        <v>851</v>
      </c>
      <c r="F409" s="4" t="s">
        <v>848</v>
      </c>
      <c r="G409" s="8" t="s">
        <v>17</v>
      </c>
      <c r="H409" s="8"/>
      <c r="I409" s="8"/>
      <c r="J409" s="47">
        <v>0.1</v>
      </c>
      <c r="K409" s="8">
        <v>100</v>
      </c>
    </row>
    <row r="410" spans="1:11" x14ac:dyDescent="0.35">
      <c r="A410" s="8">
        <v>409</v>
      </c>
      <c r="B410" s="8" t="s">
        <v>914</v>
      </c>
      <c r="C410" s="8" t="s">
        <v>113</v>
      </c>
      <c r="D410" s="8" t="s">
        <v>235</v>
      </c>
      <c r="E410" s="8" t="s">
        <v>851</v>
      </c>
      <c r="F410" s="4" t="s">
        <v>849</v>
      </c>
      <c r="G410" s="8" t="s">
        <v>17</v>
      </c>
      <c r="H410" s="8"/>
      <c r="I410" s="8"/>
      <c r="J410" s="47">
        <v>0.1</v>
      </c>
      <c r="K410" s="8">
        <v>100</v>
      </c>
    </row>
    <row r="411" spans="1:11" x14ac:dyDescent="0.35">
      <c r="A411" s="8">
        <v>410</v>
      </c>
      <c r="B411" s="8" t="s">
        <v>915</v>
      </c>
      <c r="C411" s="8" t="s">
        <v>113</v>
      </c>
      <c r="D411" s="8" t="s">
        <v>235</v>
      </c>
      <c r="E411" s="8" t="s">
        <v>851</v>
      </c>
      <c r="F411" s="4" t="s">
        <v>850</v>
      </c>
      <c r="G411" s="8" t="s">
        <v>17</v>
      </c>
      <c r="H411" s="8"/>
      <c r="I411" s="8"/>
      <c r="J411" s="47">
        <v>0.1</v>
      </c>
      <c r="K411" s="8">
        <v>100</v>
      </c>
    </row>
    <row r="412" spans="1:11" x14ac:dyDescent="0.35">
      <c r="A412" s="8">
        <v>411</v>
      </c>
      <c r="B412" s="8" t="s">
        <v>935</v>
      </c>
      <c r="C412" s="8" t="s">
        <v>113</v>
      </c>
      <c r="D412" s="8" t="s">
        <v>235</v>
      </c>
      <c r="E412" s="8" t="s">
        <v>934</v>
      </c>
      <c r="F412" s="4" t="s">
        <v>916</v>
      </c>
      <c r="G412" s="8" t="s">
        <v>10</v>
      </c>
      <c r="H412" s="8"/>
      <c r="I412" s="8"/>
      <c r="J412" s="47">
        <v>0.1</v>
      </c>
      <c r="K412" s="8">
        <v>100</v>
      </c>
    </row>
    <row r="413" spans="1:11" x14ac:dyDescent="0.35">
      <c r="A413" s="8">
        <v>412</v>
      </c>
      <c r="B413" s="8" t="s">
        <v>936</v>
      </c>
      <c r="C413" s="8" t="s">
        <v>113</v>
      </c>
      <c r="D413" s="8" t="s">
        <v>235</v>
      </c>
      <c r="E413" s="8" t="s">
        <v>934</v>
      </c>
      <c r="F413" s="4" t="s">
        <v>917</v>
      </c>
      <c r="G413" s="8" t="s">
        <v>10</v>
      </c>
      <c r="H413" s="8"/>
      <c r="I413" s="8"/>
      <c r="J413" s="47">
        <v>0.1</v>
      </c>
      <c r="K413" s="8">
        <v>100</v>
      </c>
    </row>
    <row r="414" spans="1:11" x14ac:dyDescent="0.35">
      <c r="A414" s="8">
        <v>413</v>
      </c>
      <c r="B414" s="8" t="s">
        <v>937</v>
      </c>
      <c r="C414" s="8" t="s">
        <v>113</v>
      </c>
      <c r="D414" s="8" t="s">
        <v>235</v>
      </c>
      <c r="E414" s="8" t="s">
        <v>934</v>
      </c>
      <c r="F414" s="4" t="s">
        <v>918</v>
      </c>
      <c r="G414" s="8" t="s">
        <v>10</v>
      </c>
      <c r="H414" s="8"/>
      <c r="I414" s="8"/>
      <c r="J414" s="47">
        <v>0.1</v>
      </c>
      <c r="K414" s="8">
        <v>100</v>
      </c>
    </row>
    <row r="415" spans="1:11" x14ac:dyDescent="0.35">
      <c r="A415" s="8">
        <v>414</v>
      </c>
      <c r="B415" s="8" t="s">
        <v>938</v>
      </c>
      <c r="C415" s="8" t="s">
        <v>113</v>
      </c>
      <c r="D415" s="8" t="s">
        <v>235</v>
      </c>
      <c r="E415" s="8" t="s">
        <v>934</v>
      </c>
      <c r="F415" s="4" t="s">
        <v>919</v>
      </c>
      <c r="G415" s="8" t="s">
        <v>10</v>
      </c>
      <c r="H415" s="8"/>
      <c r="I415" s="8"/>
      <c r="J415" s="47">
        <v>0.1</v>
      </c>
      <c r="K415" s="8">
        <v>100</v>
      </c>
    </row>
    <row r="416" spans="1:11" x14ac:dyDescent="0.35">
      <c r="A416" s="8">
        <v>415</v>
      </c>
      <c r="B416" s="8" t="s">
        <v>939</v>
      </c>
      <c r="C416" s="8" t="s">
        <v>113</v>
      </c>
      <c r="D416" s="8" t="s">
        <v>235</v>
      </c>
      <c r="E416" s="8" t="s">
        <v>934</v>
      </c>
      <c r="F416" s="4" t="s">
        <v>920</v>
      </c>
      <c r="G416" s="8" t="s">
        <v>10</v>
      </c>
      <c r="H416" s="8"/>
      <c r="I416" s="8"/>
      <c r="J416" s="47">
        <v>0.1</v>
      </c>
      <c r="K416" s="8">
        <v>100</v>
      </c>
    </row>
    <row r="417" spans="1:11" x14ac:dyDescent="0.35">
      <c r="A417" s="8">
        <v>416</v>
      </c>
      <c r="B417" s="8" t="s">
        <v>940</v>
      </c>
      <c r="C417" s="8" t="s">
        <v>113</v>
      </c>
      <c r="D417" s="8" t="s">
        <v>235</v>
      </c>
      <c r="E417" s="8" t="s">
        <v>934</v>
      </c>
      <c r="F417" s="4" t="s">
        <v>921</v>
      </c>
      <c r="G417" s="8" t="s">
        <v>10</v>
      </c>
      <c r="H417" s="8"/>
      <c r="I417" s="8"/>
      <c r="J417" s="47">
        <v>0.1</v>
      </c>
      <c r="K417" s="8">
        <v>100</v>
      </c>
    </row>
    <row r="418" spans="1:11" x14ac:dyDescent="0.35">
      <c r="A418" s="8">
        <v>417</v>
      </c>
      <c r="B418" s="8" t="s">
        <v>941</v>
      </c>
      <c r="C418" s="8" t="s">
        <v>113</v>
      </c>
      <c r="D418" s="8" t="s">
        <v>235</v>
      </c>
      <c r="E418" s="8" t="s">
        <v>934</v>
      </c>
      <c r="F418" s="4" t="s">
        <v>922</v>
      </c>
      <c r="G418" s="8" t="s">
        <v>10</v>
      </c>
      <c r="H418" s="8"/>
      <c r="I418" s="8"/>
      <c r="J418" s="47">
        <v>0.1</v>
      </c>
      <c r="K418" s="8">
        <v>100</v>
      </c>
    </row>
    <row r="419" spans="1:11" x14ac:dyDescent="0.35">
      <c r="A419" s="8">
        <v>418</v>
      </c>
      <c r="B419" s="8" t="s">
        <v>942</v>
      </c>
      <c r="C419" s="8" t="s">
        <v>113</v>
      </c>
      <c r="D419" s="8" t="s">
        <v>235</v>
      </c>
      <c r="E419" s="8" t="s">
        <v>934</v>
      </c>
      <c r="F419" s="4" t="s">
        <v>923</v>
      </c>
      <c r="G419" s="8" t="s">
        <v>10</v>
      </c>
      <c r="H419" s="8"/>
      <c r="I419" s="8"/>
      <c r="J419" s="47">
        <v>0.1</v>
      </c>
      <c r="K419" s="8">
        <v>100</v>
      </c>
    </row>
    <row r="420" spans="1:11" x14ac:dyDescent="0.35">
      <c r="A420" s="8">
        <v>419</v>
      </c>
      <c r="B420" s="8" t="s">
        <v>943</v>
      </c>
      <c r="C420" s="8" t="s">
        <v>113</v>
      </c>
      <c r="D420" s="8" t="s">
        <v>235</v>
      </c>
      <c r="E420" s="8" t="s">
        <v>934</v>
      </c>
      <c r="F420" s="4" t="s">
        <v>924</v>
      </c>
      <c r="G420" s="8" t="s">
        <v>10</v>
      </c>
      <c r="H420" s="8"/>
      <c r="I420" s="8"/>
      <c r="J420" s="47">
        <v>0.1</v>
      </c>
      <c r="K420" s="8">
        <v>100</v>
      </c>
    </row>
    <row r="421" spans="1:11" x14ac:dyDescent="0.35">
      <c r="A421" s="8">
        <v>420</v>
      </c>
      <c r="B421" s="8" t="s">
        <v>944</v>
      </c>
      <c r="C421" s="8" t="s">
        <v>113</v>
      </c>
      <c r="D421" s="8" t="s">
        <v>235</v>
      </c>
      <c r="E421" s="8" t="s">
        <v>934</v>
      </c>
      <c r="F421" s="4" t="s">
        <v>925</v>
      </c>
      <c r="G421" s="8" t="s">
        <v>10</v>
      </c>
      <c r="H421" s="8"/>
      <c r="I421" s="8"/>
      <c r="J421" s="47">
        <v>0.1</v>
      </c>
      <c r="K421" s="8">
        <v>100</v>
      </c>
    </row>
    <row r="422" spans="1:11" x14ac:dyDescent="0.35">
      <c r="A422" s="8">
        <v>421</v>
      </c>
      <c r="B422" s="8" t="s">
        <v>945</v>
      </c>
      <c r="C422" s="8" t="s">
        <v>113</v>
      </c>
      <c r="D422" s="8" t="s">
        <v>235</v>
      </c>
      <c r="E422" s="8" t="s">
        <v>934</v>
      </c>
      <c r="F422" s="4" t="s">
        <v>926</v>
      </c>
      <c r="G422" s="8" t="s">
        <v>10</v>
      </c>
      <c r="H422" s="8"/>
      <c r="I422" s="8"/>
      <c r="J422" s="47">
        <v>0.1</v>
      </c>
      <c r="K422" s="8">
        <v>100</v>
      </c>
    </row>
    <row r="423" spans="1:11" x14ac:dyDescent="0.35">
      <c r="A423" s="8">
        <v>422</v>
      </c>
      <c r="B423" s="8" t="s">
        <v>946</v>
      </c>
      <c r="C423" s="8" t="s">
        <v>113</v>
      </c>
      <c r="D423" s="8" t="s">
        <v>235</v>
      </c>
      <c r="E423" s="8" t="s">
        <v>934</v>
      </c>
      <c r="F423" s="4" t="s">
        <v>927</v>
      </c>
      <c r="G423" s="8" t="s">
        <v>10</v>
      </c>
      <c r="H423" s="8"/>
      <c r="I423" s="8"/>
      <c r="J423" s="47">
        <v>0.1</v>
      </c>
      <c r="K423" s="8">
        <v>100</v>
      </c>
    </row>
    <row r="424" spans="1:11" x14ac:dyDescent="0.35">
      <c r="A424" s="8">
        <v>423</v>
      </c>
      <c r="B424" s="8" t="s">
        <v>947</v>
      </c>
      <c r="C424" s="8" t="s">
        <v>113</v>
      </c>
      <c r="D424" s="8" t="s">
        <v>235</v>
      </c>
      <c r="E424" s="8" t="s">
        <v>934</v>
      </c>
      <c r="F424" s="4" t="s">
        <v>928</v>
      </c>
      <c r="G424" s="8" t="s">
        <v>10</v>
      </c>
      <c r="H424" s="8"/>
      <c r="I424" s="8"/>
      <c r="J424" s="47">
        <v>0.1</v>
      </c>
      <c r="K424" s="8">
        <v>100</v>
      </c>
    </row>
    <row r="425" spans="1:11" x14ac:dyDescent="0.35">
      <c r="A425" s="8">
        <v>424</v>
      </c>
      <c r="B425" s="8" t="s">
        <v>948</v>
      </c>
      <c r="C425" s="8" t="s">
        <v>113</v>
      </c>
      <c r="D425" s="8" t="s">
        <v>235</v>
      </c>
      <c r="E425" s="8" t="s">
        <v>934</v>
      </c>
      <c r="F425" s="4" t="s">
        <v>929</v>
      </c>
      <c r="G425" s="8" t="s">
        <v>10</v>
      </c>
      <c r="H425" s="8"/>
      <c r="I425" s="8"/>
      <c r="J425" s="47">
        <v>0.1</v>
      </c>
      <c r="K425" s="8">
        <v>100</v>
      </c>
    </row>
    <row r="426" spans="1:11" x14ac:dyDescent="0.35">
      <c r="A426" s="8">
        <v>425</v>
      </c>
      <c r="B426" s="8" t="s">
        <v>949</v>
      </c>
      <c r="C426" s="8" t="s">
        <v>113</v>
      </c>
      <c r="D426" s="8" t="s">
        <v>235</v>
      </c>
      <c r="E426" s="8" t="s">
        <v>934</v>
      </c>
      <c r="F426" s="4" t="s">
        <v>930</v>
      </c>
      <c r="G426" s="8" t="s">
        <v>10</v>
      </c>
      <c r="H426" s="8"/>
      <c r="I426" s="8"/>
      <c r="J426" s="47">
        <v>0.1</v>
      </c>
      <c r="K426" s="8">
        <v>100</v>
      </c>
    </row>
    <row r="427" spans="1:11" x14ac:dyDescent="0.35">
      <c r="A427" s="8">
        <v>426</v>
      </c>
      <c r="B427" s="8" t="s">
        <v>950</v>
      </c>
      <c r="C427" s="8" t="s">
        <v>113</v>
      </c>
      <c r="D427" s="8" t="s">
        <v>235</v>
      </c>
      <c r="E427" s="8" t="s">
        <v>934</v>
      </c>
      <c r="F427" s="4" t="s">
        <v>931</v>
      </c>
      <c r="G427" s="8" t="s">
        <v>10</v>
      </c>
      <c r="H427" s="8"/>
      <c r="I427" s="8"/>
      <c r="J427" s="47">
        <v>0.1</v>
      </c>
      <c r="K427" s="8">
        <v>100</v>
      </c>
    </row>
    <row r="428" spans="1:11" x14ac:dyDescent="0.35">
      <c r="A428" s="8">
        <v>427</v>
      </c>
      <c r="B428" s="8" t="s">
        <v>951</v>
      </c>
      <c r="C428" s="8" t="s">
        <v>113</v>
      </c>
      <c r="D428" s="8" t="s">
        <v>235</v>
      </c>
      <c r="E428" s="8" t="s">
        <v>934</v>
      </c>
      <c r="F428" s="4" t="s">
        <v>932</v>
      </c>
      <c r="G428" s="8" t="s">
        <v>10</v>
      </c>
      <c r="H428" s="8"/>
      <c r="I428" s="8"/>
      <c r="J428" s="47">
        <v>0.1</v>
      </c>
      <c r="K428" s="8">
        <v>100</v>
      </c>
    </row>
    <row r="429" spans="1:11" x14ac:dyDescent="0.35">
      <c r="A429" s="8">
        <v>428</v>
      </c>
      <c r="B429" s="8" t="s">
        <v>952</v>
      </c>
      <c r="C429" s="8" t="s">
        <v>113</v>
      </c>
      <c r="D429" s="8" t="s">
        <v>235</v>
      </c>
      <c r="E429" s="8" t="s">
        <v>934</v>
      </c>
      <c r="F429" s="4" t="s">
        <v>933</v>
      </c>
      <c r="G429" s="8" t="s">
        <v>10</v>
      </c>
      <c r="H429" s="8"/>
      <c r="I429" s="8"/>
      <c r="J429" s="47">
        <v>0.1</v>
      </c>
      <c r="K429" s="8">
        <v>100</v>
      </c>
    </row>
    <row r="430" spans="1:11" x14ac:dyDescent="0.35">
      <c r="A430" s="8">
        <v>429</v>
      </c>
      <c r="B430" s="8" t="s">
        <v>953</v>
      </c>
      <c r="C430" s="8" t="s">
        <v>113</v>
      </c>
      <c r="D430" s="8" t="s">
        <v>235</v>
      </c>
      <c r="E430" s="8" t="s">
        <v>934</v>
      </c>
      <c r="F430" s="13" t="s">
        <v>954</v>
      </c>
      <c r="G430" s="8" t="s">
        <v>10</v>
      </c>
      <c r="H430" s="8"/>
      <c r="I430" s="8"/>
      <c r="J430" s="47">
        <v>0.1</v>
      </c>
      <c r="K430" s="8">
        <v>100</v>
      </c>
    </row>
    <row r="431" spans="1:11" x14ac:dyDescent="0.35">
      <c r="A431" s="8">
        <v>430</v>
      </c>
      <c r="B431" s="8" t="s">
        <v>962</v>
      </c>
      <c r="C431" s="8" t="s">
        <v>113</v>
      </c>
      <c r="D431" s="8" t="s">
        <v>235</v>
      </c>
      <c r="E431" s="8" t="s">
        <v>955</v>
      </c>
      <c r="F431" s="4" t="s">
        <v>956</v>
      </c>
      <c r="G431" s="8" t="s">
        <v>24</v>
      </c>
      <c r="H431" s="8"/>
      <c r="I431" s="8"/>
      <c r="J431" s="47">
        <v>0.1</v>
      </c>
      <c r="K431" s="8">
        <v>100</v>
      </c>
    </row>
    <row r="432" spans="1:11" x14ac:dyDescent="0.35">
      <c r="A432" s="8">
        <v>431</v>
      </c>
      <c r="B432" s="8" t="s">
        <v>963</v>
      </c>
      <c r="C432" s="8" t="s">
        <v>113</v>
      </c>
      <c r="D432" s="8" t="s">
        <v>235</v>
      </c>
      <c r="E432" s="8" t="s">
        <v>955</v>
      </c>
      <c r="F432" s="4" t="s">
        <v>957</v>
      </c>
      <c r="G432" s="8" t="s">
        <v>24</v>
      </c>
      <c r="H432" s="8"/>
      <c r="I432" s="8"/>
      <c r="J432" s="47">
        <v>0.1</v>
      </c>
      <c r="K432" s="8">
        <v>100</v>
      </c>
    </row>
    <row r="433" spans="1:11" x14ac:dyDescent="0.35">
      <c r="A433" s="8">
        <v>432</v>
      </c>
      <c r="B433" s="8" t="s">
        <v>964</v>
      </c>
      <c r="C433" s="8" t="s">
        <v>113</v>
      </c>
      <c r="D433" s="8" t="s">
        <v>235</v>
      </c>
      <c r="E433" s="8" t="s">
        <v>955</v>
      </c>
      <c r="F433" s="4" t="s">
        <v>958</v>
      </c>
      <c r="G433" s="8" t="s">
        <v>24</v>
      </c>
      <c r="H433" s="8"/>
      <c r="I433" s="8"/>
      <c r="J433" s="47">
        <v>0.1</v>
      </c>
      <c r="K433" s="8">
        <v>100</v>
      </c>
    </row>
    <row r="434" spans="1:11" x14ac:dyDescent="0.35">
      <c r="A434" s="8">
        <v>433</v>
      </c>
      <c r="B434" s="8" t="s">
        <v>965</v>
      </c>
      <c r="C434" s="8" t="s">
        <v>113</v>
      </c>
      <c r="D434" s="8" t="s">
        <v>235</v>
      </c>
      <c r="E434" s="8" t="s">
        <v>955</v>
      </c>
      <c r="F434" s="4" t="s">
        <v>959</v>
      </c>
      <c r="G434" s="8" t="s">
        <v>24</v>
      </c>
      <c r="H434" s="8"/>
      <c r="I434" s="8"/>
      <c r="J434" s="47">
        <v>0.1</v>
      </c>
      <c r="K434" s="8">
        <v>100</v>
      </c>
    </row>
    <row r="435" spans="1:11" x14ac:dyDescent="0.35">
      <c r="A435" s="8">
        <v>434</v>
      </c>
      <c r="B435" s="8" t="s">
        <v>966</v>
      </c>
      <c r="C435" s="8" t="s">
        <v>113</v>
      </c>
      <c r="D435" s="8" t="s">
        <v>235</v>
      </c>
      <c r="E435" s="8" t="s">
        <v>955</v>
      </c>
      <c r="F435" s="4" t="s">
        <v>960</v>
      </c>
      <c r="G435" s="8" t="s">
        <v>24</v>
      </c>
      <c r="H435" s="8"/>
      <c r="I435" s="8"/>
      <c r="J435" s="47">
        <v>0.1</v>
      </c>
      <c r="K435" s="8">
        <v>100</v>
      </c>
    </row>
    <row r="436" spans="1:11" x14ac:dyDescent="0.35">
      <c r="A436" s="8">
        <v>435</v>
      </c>
      <c r="B436" s="8" t="s">
        <v>967</v>
      </c>
      <c r="C436" s="8" t="s">
        <v>113</v>
      </c>
      <c r="D436" s="8" t="s">
        <v>235</v>
      </c>
      <c r="E436" s="8" t="s">
        <v>955</v>
      </c>
      <c r="F436" s="4" t="s">
        <v>961</v>
      </c>
      <c r="G436" s="8" t="s">
        <v>24</v>
      </c>
      <c r="H436" s="8"/>
      <c r="I436" s="8"/>
      <c r="J436" s="47">
        <v>0.1</v>
      </c>
      <c r="K436" s="8">
        <v>100</v>
      </c>
    </row>
    <row r="437" spans="1:11" x14ac:dyDescent="0.35">
      <c r="A437" s="8">
        <v>436</v>
      </c>
      <c r="B437" s="8" t="s">
        <v>969</v>
      </c>
      <c r="C437" s="8" t="s">
        <v>113</v>
      </c>
      <c r="D437" s="8" t="s">
        <v>235</v>
      </c>
      <c r="E437" s="8" t="s">
        <v>968</v>
      </c>
      <c r="F437" s="13" t="s">
        <v>970</v>
      </c>
      <c r="G437" s="8" t="s">
        <v>20</v>
      </c>
      <c r="H437" s="8" t="s">
        <v>324</v>
      </c>
      <c r="I437" s="8"/>
      <c r="J437" s="47">
        <v>0.1</v>
      </c>
      <c r="K437" s="8">
        <v>100</v>
      </c>
    </row>
    <row r="438" spans="1:11" x14ac:dyDescent="0.35">
      <c r="A438" s="8">
        <v>437</v>
      </c>
      <c r="B438" s="8" t="s">
        <v>984</v>
      </c>
      <c r="C438" s="8" t="s">
        <v>113</v>
      </c>
      <c r="D438" s="8" t="s">
        <v>235</v>
      </c>
      <c r="E438" s="8" t="s">
        <v>968</v>
      </c>
      <c r="F438" s="13" t="s">
        <v>971</v>
      </c>
      <c r="G438" s="8" t="s">
        <v>20</v>
      </c>
      <c r="H438" s="8" t="s">
        <v>983</v>
      </c>
      <c r="I438" s="8"/>
      <c r="J438" s="47">
        <v>0.1</v>
      </c>
      <c r="K438" s="8">
        <v>100</v>
      </c>
    </row>
    <row r="439" spans="1:11" x14ac:dyDescent="0.35">
      <c r="A439" s="8">
        <v>438</v>
      </c>
      <c r="B439" s="8" t="s">
        <v>985</v>
      </c>
      <c r="C439" s="8" t="s">
        <v>113</v>
      </c>
      <c r="D439" s="8" t="s">
        <v>235</v>
      </c>
      <c r="E439" s="8" t="s">
        <v>968</v>
      </c>
      <c r="F439" s="13" t="s">
        <v>973</v>
      </c>
      <c r="G439" s="8" t="s">
        <v>20</v>
      </c>
      <c r="H439" s="8" t="s">
        <v>324</v>
      </c>
      <c r="I439" s="8"/>
      <c r="J439" s="47">
        <v>0.1</v>
      </c>
      <c r="K439" s="8">
        <v>100</v>
      </c>
    </row>
    <row r="440" spans="1:11" x14ac:dyDescent="0.35">
      <c r="A440" s="8">
        <v>439</v>
      </c>
      <c r="B440" s="8" t="s">
        <v>986</v>
      </c>
      <c r="C440" s="8" t="s">
        <v>113</v>
      </c>
      <c r="D440" s="8" t="s">
        <v>235</v>
      </c>
      <c r="E440" s="8" t="s">
        <v>968</v>
      </c>
      <c r="F440" s="13" t="s">
        <v>972</v>
      </c>
      <c r="G440" s="8" t="s">
        <v>20</v>
      </c>
      <c r="H440" s="8" t="s">
        <v>983</v>
      </c>
      <c r="I440" s="8"/>
      <c r="J440" s="47">
        <v>0.1</v>
      </c>
      <c r="K440" s="8">
        <v>100</v>
      </c>
    </row>
    <row r="441" spans="1:11" x14ac:dyDescent="0.35">
      <c r="A441" s="8">
        <v>440</v>
      </c>
      <c r="B441" s="8" t="s">
        <v>987</v>
      </c>
      <c r="C441" s="8" t="s">
        <v>113</v>
      </c>
      <c r="D441" s="8" t="s">
        <v>235</v>
      </c>
      <c r="E441" s="8" t="s">
        <v>968</v>
      </c>
      <c r="F441" s="13" t="s">
        <v>974</v>
      </c>
      <c r="G441" s="8" t="s">
        <v>20</v>
      </c>
      <c r="H441" s="8" t="s">
        <v>324</v>
      </c>
      <c r="I441" s="8"/>
      <c r="J441" s="47">
        <v>0.1</v>
      </c>
      <c r="K441" s="8">
        <v>100</v>
      </c>
    </row>
    <row r="442" spans="1:11" x14ac:dyDescent="0.35">
      <c r="A442" s="8">
        <v>441</v>
      </c>
      <c r="B442" s="8" t="s">
        <v>988</v>
      </c>
      <c r="C442" s="8" t="s">
        <v>113</v>
      </c>
      <c r="D442" s="8" t="s">
        <v>235</v>
      </c>
      <c r="E442" s="8" t="s">
        <v>968</v>
      </c>
      <c r="F442" s="13" t="s">
        <v>975</v>
      </c>
      <c r="G442" s="8" t="s">
        <v>20</v>
      </c>
      <c r="H442" s="8" t="s">
        <v>983</v>
      </c>
      <c r="I442" s="8"/>
      <c r="J442" s="47">
        <v>0.1</v>
      </c>
      <c r="K442" s="8">
        <v>100</v>
      </c>
    </row>
    <row r="443" spans="1:11" x14ac:dyDescent="0.35">
      <c r="A443" s="8">
        <v>442</v>
      </c>
      <c r="B443" s="8" t="s">
        <v>989</v>
      </c>
      <c r="C443" s="8" t="s">
        <v>113</v>
      </c>
      <c r="D443" s="8" t="s">
        <v>235</v>
      </c>
      <c r="E443" s="8" t="s">
        <v>968</v>
      </c>
      <c r="F443" s="13" t="s">
        <v>979</v>
      </c>
      <c r="G443" s="8" t="s">
        <v>20</v>
      </c>
      <c r="H443" s="8" t="s">
        <v>324</v>
      </c>
      <c r="I443" s="8"/>
      <c r="J443" s="47">
        <v>0.1</v>
      </c>
      <c r="K443" s="8">
        <v>100</v>
      </c>
    </row>
    <row r="444" spans="1:11" x14ac:dyDescent="0.35">
      <c r="A444" s="8">
        <v>443</v>
      </c>
      <c r="B444" s="8" t="s">
        <v>990</v>
      </c>
      <c r="C444" s="8" t="s">
        <v>113</v>
      </c>
      <c r="D444" s="8" t="s">
        <v>235</v>
      </c>
      <c r="E444" s="8" t="s">
        <v>968</v>
      </c>
      <c r="F444" s="13" t="s">
        <v>979</v>
      </c>
      <c r="G444" s="8" t="s">
        <v>20</v>
      </c>
      <c r="H444" s="8" t="s">
        <v>983</v>
      </c>
      <c r="I444" s="8"/>
      <c r="J444" s="47">
        <v>0.1</v>
      </c>
      <c r="K444" s="8">
        <v>100</v>
      </c>
    </row>
    <row r="445" spans="1:11" x14ac:dyDescent="0.35">
      <c r="A445" s="8">
        <v>444</v>
      </c>
      <c r="B445" s="8" t="s">
        <v>991</v>
      </c>
      <c r="C445" s="8" t="s">
        <v>113</v>
      </c>
      <c r="D445" s="8" t="s">
        <v>235</v>
      </c>
      <c r="E445" s="8" t="s">
        <v>968</v>
      </c>
      <c r="F445" s="13" t="s">
        <v>980</v>
      </c>
      <c r="G445" s="8" t="s">
        <v>20</v>
      </c>
      <c r="H445" s="8" t="s">
        <v>324</v>
      </c>
      <c r="I445" s="8"/>
      <c r="J445" s="47">
        <v>0.1</v>
      </c>
      <c r="K445" s="8">
        <v>100</v>
      </c>
    </row>
    <row r="446" spans="1:11" x14ac:dyDescent="0.35">
      <c r="A446" s="8">
        <v>445</v>
      </c>
      <c r="B446" s="8" t="s">
        <v>992</v>
      </c>
      <c r="C446" s="8" t="s">
        <v>113</v>
      </c>
      <c r="D446" s="8" t="s">
        <v>235</v>
      </c>
      <c r="E446" s="8" t="s">
        <v>968</v>
      </c>
      <c r="F446" s="13" t="s">
        <v>980</v>
      </c>
      <c r="G446" s="8" t="s">
        <v>20</v>
      </c>
      <c r="H446" s="8" t="s">
        <v>983</v>
      </c>
      <c r="I446" s="8"/>
      <c r="J446" s="47">
        <v>0.1</v>
      </c>
      <c r="K446" s="8">
        <v>100</v>
      </c>
    </row>
    <row r="447" spans="1:11" x14ac:dyDescent="0.35">
      <c r="A447" s="8">
        <v>446</v>
      </c>
      <c r="B447" s="8" t="s">
        <v>993</v>
      </c>
      <c r="C447" s="8" t="s">
        <v>113</v>
      </c>
      <c r="D447" s="8" t="s">
        <v>235</v>
      </c>
      <c r="E447" s="8" t="s">
        <v>968</v>
      </c>
      <c r="F447" s="13" t="s">
        <v>981</v>
      </c>
      <c r="G447" s="8" t="s">
        <v>20</v>
      </c>
      <c r="H447" s="8" t="s">
        <v>324</v>
      </c>
      <c r="I447" s="8"/>
      <c r="J447" s="47">
        <v>0.1</v>
      </c>
      <c r="K447" s="8">
        <v>100</v>
      </c>
    </row>
    <row r="448" spans="1:11" x14ac:dyDescent="0.35">
      <c r="A448" s="8">
        <v>447</v>
      </c>
      <c r="B448" s="8" t="s">
        <v>994</v>
      </c>
      <c r="C448" s="8" t="s">
        <v>113</v>
      </c>
      <c r="D448" s="8" t="s">
        <v>235</v>
      </c>
      <c r="E448" s="8" t="s">
        <v>968</v>
      </c>
      <c r="F448" s="13" t="s">
        <v>981</v>
      </c>
      <c r="G448" s="8" t="s">
        <v>20</v>
      </c>
      <c r="H448" s="8" t="s">
        <v>983</v>
      </c>
      <c r="I448" s="8"/>
      <c r="J448" s="47">
        <v>0.1</v>
      </c>
      <c r="K448" s="8">
        <v>100</v>
      </c>
    </row>
    <row r="449" spans="1:11" x14ac:dyDescent="0.35">
      <c r="A449" s="8">
        <v>448</v>
      </c>
      <c r="B449" s="8" t="s">
        <v>995</v>
      </c>
      <c r="C449" s="8" t="s">
        <v>113</v>
      </c>
      <c r="D449" s="8" t="s">
        <v>235</v>
      </c>
      <c r="E449" s="8" t="s">
        <v>968</v>
      </c>
      <c r="F449" s="13" t="s">
        <v>982</v>
      </c>
      <c r="G449" s="8" t="s">
        <v>20</v>
      </c>
      <c r="H449" s="8" t="s">
        <v>324</v>
      </c>
      <c r="I449" s="8"/>
      <c r="J449" s="47">
        <v>0.1</v>
      </c>
      <c r="K449" s="8">
        <v>100</v>
      </c>
    </row>
    <row r="450" spans="1:11" x14ac:dyDescent="0.35">
      <c r="A450" s="8">
        <v>449</v>
      </c>
      <c r="B450" s="8" t="s">
        <v>996</v>
      </c>
      <c r="C450" s="8" t="s">
        <v>113</v>
      </c>
      <c r="D450" s="8" t="s">
        <v>235</v>
      </c>
      <c r="E450" s="8" t="s">
        <v>968</v>
      </c>
      <c r="F450" s="13" t="s">
        <v>982</v>
      </c>
      <c r="G450" s="8" t="s">
        <v>20</v>
      </c>
      <c r="H450" s="8" t="s">
        <v>983</v>
      </c>
      <c r="I450" s="8"/>
      <c r="J450" s="47">
        <v>0.1</v>
      </c>
      <c r="K450" s="8">
        <v>100</v>
      </c>
    </row>
    <row r="451" spans="1:11" x14ac:dyDescent="0.35">
      <c r="A451" s="8">
        <v>450</v>
      </c>
      <c r="B451" s="8" t="s">
        <v>1025</v>
      </c>
      <c r="C451" s="8" t="s">
        <v>113</v>
      </c>
      <c r="D451" s="8" t="s">
        <v>235</v>
      </c>
      <c r="E451" s="8" t="s">
        <v>997</v>
      </c>
      <c r="F451" s="13" t="s">
        <v>998</v>
      </c>
      <c r="G451" s="8" t="s">
        <v>177</v>
      </c>
      <c r="H451" s="8" t="s">
        <v>1023</v>
      </c>
      <c r="I451" s="8"/>
      <c r="J451" s="47">
        <v>0.1</v>
      </c>
      <c r="K451" s="8">
        <v>100</v>
      </c>
    </row>
    <row r="452" spans="1:11" x14ac:dyDescent="0.35">
      <c r="A452" s="8">
        <v>451</v>
      </c>
      <c r="B452" s="8" t="s">
        <v>1026</v>
      </c>
      <c r="C452" s="8" t="s">
        <v>113</v>
      </c>
      <c r="D452" s="8" t="s">
        <v>235</v>
      </c>
      <c r="E452" s="8" t="s">
        <v>997</v>
      </c>
      <c r="F452" s="13" t="s">
        <v>999</v>
      </c>
      <c r="G452" s="8" t="s">
        <v>177</v>
      </c>
      <c r="H452" s="8" t="s">
        <v>1023</v>
      </c>
      <c r="I452" s="8"/>
      <c r="J452" s="47">
        <v>0.1</v>
      </c>
      <c r="K452" s="8">
        <v>100</v>
      </c>
    </row>
    <row r="453" spans="1:11" x14ac:dyDescent="0.35">
      <c r="A453" s="8">
        <v>452</v>
      </c>
      <c r="B453" s="8" t="s">
        <v>1027</v>
      </c>
      <c r="C453" s="8" t="s">
        <v>113</v>
      </c>
      <c r="D453" s="8" t="s">
        <v>235</v>
      </c>
      <c r="E453" s="8" t="s">
        <v>997</v>
      </c>
      <c r="F453" s="13" t="s">
        <v>1000</v>
      </c>
      <c r="G453" s="8" t="s">
        <v>177</v>
      </c>
      <c r="H453" s="8" t="s">
        <v>1023</v>
      </c>
      <c r="I453" s="8"/>
      <c r="J453" s="47">
        <v>0.1</v>
      </c>
      <c r="K453" s="8">
        <v>100</v>
      </c>
    </row>
    <row r="454" spans="1:11" x14ac:dyDescent="0.35">
      <c r="A454" s="8">
        <v>453</v>
      </c>
      <c r="B454" s="8" t="s">
        <v>1028</v>
      </c>
      <c r="C454" s="8" t="s">
        <v>113</v>
      </c>
      <c r="D454" s="8" t="s">
        <v>235</v>
      </c>
      <c r="E454" s="8" t="s">
        <v>997</v>
      </c>
      <c r="F454" s="13" t="s">
        <v>998</v>
      </c>
      <c r="G454" s="8" t="s">
        <v>177</v>
      </c>
      <c r="H454" s="8" t="s">
        <v>1024</v>
      </c>
      <c r="I454" s="8"/>
      <c r="J454" s="47">
        <v>0.1</v>
      </c>
      <c r="K454" s="8">
        <v>100</v>
      </c>
    </row>
    <row r="455" spans="1:11" x14ac:dyDescent="0.35">
      <c r="A455" s="8">
        <v>454</v>
      </c>
      <c r="B455" s="8" t="s">
        <v>1029</v>
      </c>
      <c r="C455" s="8" t="s">
        <v>113</v>
      </c>
      <c r="D455" s="8" t="s">
        <v>235</v>
      </c>
      <c r="E455" s="8" t="s">
        <v>997</v>
      </c>
      <c r="F455" s="13" t="s">
        <v>999</v>
      </c>
      <c r="G455" s="8" t="s">
        <v>177</v>
      </c>
      <c r="H455" s="8" t="s">
        <v>1024</v>
      </c>
      <c r="I455" s="8"/>
      <c r="J455" s="47">
        <v>0.1</v>
      </c>
      <c r="K455" s="8">
        <v>100</v>
      </c>
    </row>
    <row r="456" spans="1:11" x14ac:dyDescent="0.35">
      <c r="A456" s="8">
        <v>455</v>
      </c>
      <c r="B456" s="8" t="s">
        <v>1030</v>
      </c>
      <c r="C456" s="8" t="s">
        <v>113</v>
      </c>
      <c r="D456" s="8" t="s">
        <v>235</v>
      </c>
      <c r="E456" s="8" t="s">
        <v>997</v>
      </c>
      <c r="F456" s="13" t="s">
        <v>1000</v>
      </c>
      <c r="G456" s="8" t="s">
        <v>177</v>
      </c>
      <c r="H456" s="8" t="s">
        <v>1024</v>
      </c>
      <c r="I456" s="8"/>
      <c r="J456" s="47">
        <v>0.1</v>
      </c>
      <c r="K456" s="8">
        <v>100</v>
      </c>
    </row>
    <row r="457" spans="1:11" x14ac:dyDescent="0.35">
      <c r="A457" s="8">
        <v>456</v>
      </c>
      <c r="B457" s="8" t="s">
        <v>1031</v>
      </c>
      <c r="C457" s="8" t="s">
        <v>113</v>
      </c>
      <c r="D457" s="8" t="s">
        <v>235</v>
      </c>
      <c r="E457" s="8" t="s">
        <v>997</v>
      </c>
      <c r="F457" s="13" t="s">
        <v>1001</v>
      </c>
      <c r="G457" s="8" t="s">
        <v>1013</v>
      </c>
      <c r="H457" s="8" t="s">
        <v>1023</v>
      </c>
      <c r="I457" s="8"/>
      <c r="J457" s="47">
        <v>0.1</v>
      </c>
      <c r="K457" s="8">
        <v>100</v>
      </c>
    </row>
    <row r="458" spans="1:11" x14ac:dyDescent="0.35">
      <c r="A458" s="8">
        <v>457</v>
      </c>
      <c r="B458" s="8" t="s">
        <v>1032</v>
      </c>
      <c r="C458" s="8" t="s">
        <v>113</v>
      </c>
      <c r="D458" s="8" t="s">
        <v>235</v>
      </c>
      <c r="E458" s="8" t="s">
        <v>997</v>
      </c>
      <c r="F458" s="13" t="s">
        <v>1002</v>
      </c>
      <c r="G458" s="8" t="s">
        <v>1013</v>
      </c>
      <c r="H458" s="8" t="s">
        <v>1023</v>
      </c>
      <c r="I458" s="8"/>
      <c r="J458" s="47">
        <v>0.1</v>
      </c>
      <c r="K458" s="8">
        <v>100</v>
      </c>
    </row>
    <row r="459" spans="1:11" x14ac:dyDescent="0.35">
      <c r="A459" s="8">
        <v>458</v>
      </c>
      <c r="B459" s="8" t="s">
        <v>1033</v>
      </c>
      <c r="C459" s="8" t="s">
        <v>113</v>
      </c>
      <c r="D459" s="8" t="s">
        <v>235</v>
      </c>
      <c r="E459" s="8" t="s">
        <v>997</v>
      </c>
      <c r="F459" s="13" t="s">
        <v>1003</v>
      </c>
      <c r="G459" s="8" t="s">
        <v>1013</v>
      </c>
      <c r="H459" s="8" t="s">
        <v>1023</v>
      </c>
      <c r="I459" s="8"/>
      <c r="J459" s="47">
        <v>0.1</v>
      </c>
      <c r="K459" s="8">
        <v>100</v>
      </c>
    </row>
    <row r="460" spans="1:11" x14ac:dyDescent="0.35">
      <c r="A460" s="8">
        <v>459</v>
      </c>
      <c r="B460" s="8" t="s">
        <v>1034</v>
      </c>
      <c r="C460" s="8" t="s">
        <v>113</v>
      </c>
      <c r="D460" s="8" t="s">
        <v>235</v>
      </c>
      <c r="E460" s="8" t="s">
        <v>997</v>
      </c>
      <c r="F460" s="13" t="s">
        <v>1004</v>
      </c>
      <c r="G460" s="8" t="s">
        <v>1013</v>
      </c>
      <c r="H460" s="8" t="s">
        <v>1023</v>
      </c>
      <c r="I460" s="8"/>
      <c r="J460" s="47">
        <v>0.1</v>
      </c>
      <c r="K460" s="8">
        <v>100</v>
      </c>
    </row>
    <row r="461" spans="1:11" x14ac:dyDescent="0.35">
      <c r="A461" s="8">
        <v>460</v>
      </c>
      <c r="B461" s="8" t="s">
        <v>1035</v>
      </c>
      <c r="C461" s="8" t="s">
        <v>113</v>
      </c>
      <c r="D461" s="8" t="s">
        <v>235</v>
      </c>
      <c r="E461" s="8" t="s">
        <v>997</v>
      </c>
      <c r="F461" s="13" t="s">
        <v>1005</v>
      </c>
      <c r="G461" s="8" t="s">
        <v>1013</v>
      </c>
      <c r="H461" s="8" t="s">
        <v>1023</v>
      </c>
      <c r="I461" s="8"/>
      <c r="J461" s="47">
        <v>0.1</v>
      </c>
      <c r="K461" s="8">
        <v>100</v>
      </c>
    </row>
    <row r="462" spans="1:11" x14ac:dyDescent="0.35">
      <c r="A462" s="8">
        <v>461</v>
      </c>
      <c r="B462" s="8" t="s">
        <v>1036</v>
      </c>
      <c r="C462" s="8" t="s">
        <v>113</v>
      </c>
      <c r="D462" s="8" t="s">
        <v>235</v>
      </c>
      <c r="E462" s="8" t="s">
        <v>997</v>
      </c>
      <c r="F462" s="13" t="s">
        <v>1006</v>
      </c>
      <c r="G462" s="8" t="s">
        <v>1013</v>
      </c>
      <c r="H462" s="8" t="s">
        <v>1023</v>
      </c>
      <c r="I462" s="8"/>
      <c r="J462" s="47">
        <v>0.1</v>
      </c>
      <c r="K462" s="8">
        <v>100</v>
      </c>
    </row>
    <row r="463" spans="1:11" x14ac:dyDescent="0.35">
      <c r="A463" s="8">
        <v>462</v>
      </c>
      <c r="B463" s="8" t="s">
        <v>1037</v>
      </c>
      <c r="C463" s="8" t="s">
        <v>113</v>
      </c>
      <c r="D463" s="8" t="s">
        <v>235</v>
      </c>
      <c r="E463" s="8" t="s">
        <v>997</v>
      </c>
      <c r="F463" s="13" t="s">
        <v>1007</v>
      </c>
      <c r="G463" s="8" t="s">
        <v>1013</v>
      </c>
      <c r="H463" s="8" t="s">
        <v>1023</v>
      </c>
      <c r="I463" s="8"/>
      <c r="J463" s="47">
        <v>0.1</v>
      </c>
      <c r="K463" s="8">
        <v>100</v>
      </c>
    </row>
    <row r="464" spans="1:11" x14ac:dyDescent="0.35">
      <c r="A464" s="8">
        <v>463</v>
      </c>
      <c r="B464" s="8" t="s">
        <v>1038</v>
      </c>
      <c r="C464" s="8" t="s">
        <v>113</v>
      </c>
      <c r="D464" s="8" t="s">
        <v>235</v>
      </c>
      <c r="E464" s="8" t="s">
        <v>997</v>
      </c>
      <c r="F464" s="13" t="s">
        <v>1008</v>
      </c>
      <c r="G464" s="8" t="s">
        <v>1013</v>
      </c>
      <c r="H464" s="8" t="s">
        <v>1023</v>
      </c>
      <c r="I464" s="8"/>
      <c r="J464" s="47">
        <v>0.1</v>
      </c>
      <c r="K464" s="8">
        <v>100</v>
      </c>
    </row>
    <row r="465" spans="1:11" x14ac:dyDescent="0.35">
      <c r="A465" s="8">
        <v>464</v>
      </c>
      <c r="B465" s="8" t="s">
        <v>1039</v>
      </c>
      <c r="C465" s="8" t="s">
        <v>113</v>
      </c>
      <c r="D465" s="8" t="s">
        <v>235</v>
      </c>
      <c r="E465" s="8" t="s">
        <v>997</v>
      </c>
      <c r="F465" s="13" t="s">
        <v>1009</v>
      </c>
      <c r="G465" s="8" t="s">
        <v>1013</v>
      </c>
      <c r="H465" s="8" t="s">
        <v>1023</v>
      </c>
      <c r="I465" s="8"/>
      <c r="J465" s="47">
        <v>0.1</v>
      </c>
      <c r="K465" s="8">
        <v>100</v>
      </c>
    </row>
    <row r="466" spans="1:11" x14ac:dyDescent="0.35">
      <c r="A466" s="8">
        <v>465</v>
      </c>
      <c r="B466" s="8" t="s">
        <v>1040</v>
      </c>
      <c r="C466" s="8" t="s">
        <v>113</v>
      </c>
      <c r="D466" s="8" t="s">
        <v>235</v>
      </c>
      <c r="E466" s="8" t="s">
        <v>997</v>
      </c>
      <c r="F466" s="13" t="s">
        <v>1010</v>
      </c>
      <c r="G466" s="8" t="s">
        <v>1013</v>
      </c>
      <c r="H466" s="8" t="s">
        <v>1023</v>
      </c>
      <c r="I466" s="8"/>
      <c r="J466" s="47">
        <v>0.1</v>
      </c>
      <c r="K466" s="8">
        <v>100</v>
      </c>
    </row>
    <row r="467" spans="1:11" x14ac:dyDescent="0.35">
      <c r="A467" s="8">
        <v>466</v>
      </c>
      <c r="B467" s="8" t="s">
        <v>1041</v>
      </c>
      <c r="C467" s="8" t="s">
        <v>113</v>
      </c>
      <c r="D467" s="8" t="s">
        <v>235</v>
      </c>
      <c r="E467" s="8" t="s">
        <v>997</v>
      </c>
      <c r="F467" s="13" t="s">
        <v>1001</v>
      </c>
      <c r="G467" s="8" t="s">
        <v>1013</v>
      </c>
      <c r="H467" s="8" t="s">
        <v>1024</v>
      </c>
      <c r="I467" s="8"/>
      <c r="J467" s="47">
        <v>0.1</v>
      </c>
      <c r="K467" s="8">
        <v>100</v>
      </c>
    </row>
    <row r="468" spans="1:11" x14ac:dyDescent="0.35">
      <c r="A468" s="8">
        <v>467</v>
      </c>
      <c r="B468" s="8" t="s">
        <v>1042</v>
      </c>
      <c r="C468" s="8" t="s">
        <v>113</v>
      </c>
      <c r="D468" s="8" t="s">
        <v>235</v>
      </c>
      <c r="E468" s="8" t="s">
        <v>997</v>
      </c>
      <c r="F468" s="13" t="s">
        <v>1002</v>
      </c>
      <c r="G468" s="8" t="s">
        <v>1013</v>
      </c>
      <c r="H468" s="8" t="s">
        <v>1024</v>
      </c>
      <c r="I468" s="8"/>
      <c r="J468" s="47">
        <v>0.1</v>
      </c>
      <c r="K468" s="8">
        <v>100</v>
      </c>
    </row>
    <row r="469" spans="1:11" x14ac:dyDescent="0.35">
      <c r="A469" s="8">
        <v>468</v>
      </c>
      <c r="B469" s="8" t="s">
        <v>1043</v>
      </c>
      <c r="C469" s="8" t="s">
        <v>113</v>
      </c>
      <c r="D469" s="8" t="s">
        <v>235</v>
      </c>
      <c r="E469" s="8" t="s">
        <v>997</v>
      </c>
      <c r="F469" s="13" t="s">
        <v>1003</v>
      </c>
      <c r="G469" s="8" t="s">
        <v>1013</v>
      </c>
      <c r="H469" s="8" t="s">
        <v>1024</v>
      </c>
      <c r="I469" s="8"/>
      <c r="J469" s="47">
        <v>0.1</v>
      </c>
      <c r="K469" s="8">
        <v>100</v>
      </c>
    </row>
    <row r="470" spans="1:11" x14ac:dyDescent="0.35">
      <c r="A470" s="8">
        <v>469</v>
      </c>
      <c r="B470" s="8" t="s">
        <v>1044</v>
      </c>
      <c r="C470" s="8" t="s">
        <v>113</v>
      </c>
      <c r="D470" s="8" t="s">
        <v>235</v>
      </c>
      <c r="E470" s="8" t="s">
        <v>997</v>
      </c>
      <c r="F470" s="13" t="s">
        <v>1004</v>
      </c>
      <c r="G470" s="8" t="s">
        <v>1013</v>
      </c>
      <c r="H470" s="8" t="s">
        <v>1024</v>
      </c>
      <c r="I470" s="8"/>
      <c r="J470" s="47">
        <v>0.1</v>
      </c>
      <c r="K470" s="8">
        <v>100</v>
      </c>
    </row>
    <row r="471" spans="1:11" x14ac:dyDescent="0.35">
      <c r="A471" s="8">
        <v>470</v>
      </c>
      <c r="B471" s="8" t="s">
        <v>1045</v>
      </c>
      <c r="C471" s="8" t="s">
        <v>113</v>
      </c>
      <c r="D471" s="8" t="s">
        <v>235</v>
      </c>
      <c r="E471" s="8" t="s">
        <v>997</v>
      </c>
      <c r="F471" s="13" t="s">
        <v>1005</v>
      </c>
      <c r="G471" s="8" t="s">
        <v>1013</v>
      </c>
      <c r="H471" s="8" t="s">
        <v>1024</v>
      </c>
      <c r="I471" s="8"/>
      <c r="J471" s="47">
        <v>0.1</v>
      </c>
      <c r="K471" s="8">
        <v>100</v>
      </c>
    </row>
    <row r="472" spans="1:11" x14ac:dyDescent="0.35">
      <c r="A472" s="8">
        <v>471</v>
      </c>
      <c r="B472" s="8" t="s">
        <v>1046</v>
      </c>
      <c r="C472" s="8" t="s">
        <v>113</v>
      </c>
      <c r="D472" s="8" t="s">
        <v>235</v>
      </c>
      <c r="E472" s="8" t="s">
        <v>997</v>
      </c>
      <c r="F472" s="13" t="s">
        <v>1006</v>
      </c>
      <c r="G472" s="8" t="s">
        <v>1013</v>
      </c>
      <c r="H472" s="8" t="s">
        <v>1024</v>
      </c>
      <c r="I472" s="8"/>
      <c r="J472" s="47">
        <v>0.1</v>
      </c>
      <c r="K472" s="8">
        <v>100</v>
      </c>
    </row>
    <row r="473" spans="1:11" x14ac:dyDescent="0.35">
      <c r="A473" s="8">
        <v>472</v>
      </c>
      <c r="B473" s="8" t="s">
        <v>1047</v>
      </c>
      <c r="C473" s="8" t="s">
        <v>113</v>
      </c>
      <c r="D473" s="8" t="s">
        <v>235</v>
      </c>
      <c r="E473" s="8" t="s">
        <v>997</v>
      </c>
      <c r="F473" s="13" t="s">
        <v>1007</v>
      </c>
      <c r="G473" s="8" t="s">
        <v>1013</v>
      </c>
      <c r="H473" s="8" t="s">
        <v>1024</v>
      </c>
      <c r="I473" s="8"/>
      <c r="J473" s="47">
        <v>0.1</v>
      </c>
      <c r="K473" s="8">
        <v>100</v>
      </c>
    </row>
    <row r="474" spans="1:11" x14ac:dyDescent="0.35">
      <c r="A474" s="8">
        <v>473</v>
      </c>
      <c r="B474" s="8" t="s">
        <v>1048</v>
      </c>
      <c r="C474" s="8" t="s">
        <v>113</v>
      </c>
      <c r="D474" s="8" t="s">
        <v>235</v>
      </c>
      <c r="E474" s="8" t="s">
        <v>997</v>
      </c>
      <c r="F474" s="13" t="s">
        <v>1008</v>
      </c>
      <c r="G474" s="8" t="s">
        <v>1013</v>
      </c>
      <c r="H474" s="8" t="s">
        <v>1024</v>
      </c>
      <c r="I474" s="8"/>
      <c r="J474" s="47">
        <v>0.1</v>
      </c>
      <c r="K474" s="8">
        <v>100</v>
      </c>
    </row>
    <row r="475" spans="1:11" x14ac:dyDescent="0.35">
      <c r="A475" s="8">
        <v>474</v>
      </c>
      <c r="B475" s="8" t="s">
        <v>1049</v>
      </c>
      <c r="C475" s="8" t="s">
        <v>113</v>
      </c>
      <c r="D475" s="8" t="s">
        <v>235</v>
      </c>
      <c r="E475" s="8" t="s">
        <v>997</v>
      </c>
      <c r="F475" s="13" t="s">
        <v>1009</v>
      </c>
      <c r="G475" s="8" t="s">
        <v>1013</v>
      </c>
      <c r="H475" s="8" t="s">
        <v>1024</v>
      </c>
      <c r="I475" s="8"/>
      <c r="J475" s="47">
        <v>0.1</v>
      </c>
      <c r="K475" s="8">
        <v>100</v>
      </c>
    </row>
    <row r="476" spans="1:11" x14ac:dyDescent="0.35">
      <c r="A476" s="8">
        <v>475</v>
      </c>
      <c r="B476" s="8" t="s">
        <v>1050</v>
      </c>
      <c r="C476" s="8" t="s">
        <v>113</v>
      </c>
      <c r="D476" s="8" t="s">
        <v>235</v>
      </c>
      <c r="E476" s="8" t="s">
        <v>997</v>
      </c>
      <c r="F476" s="13" t="s">
        <v>1010</v>
      </c>
      <c r="G476" s="8" t="s">
        <v>1013</v>
      </c>
      <c r="H476" s="8" t="s">
        <v>1024</v>
      </c>
      <c r="I476" s="8"/>
      <c r="J476" s="47">
        <v>0.1</v>
      </c>
      <c r="K476" s="8">
        <v>100</v>
      </c>
    </row>
    <row r="477" spans="1:11" x14ac:dyDescent="0.35">
      <c r="A477" s="8">
        <v>476</v>
      </c>
      <c r="B477" s="8" t="s">
        <v>1051</v>
      </c>
      <c r="C477" s="8" t="s">
        <v>113</v>
      </c>
      <c r="D477" s="8" t="s">
        <v>235</v>
      </c>
      <c r="E477" s="8" t="s">
        <v>997</v>
      </c>
      <c r="F477" s="13" t="s">
        <v>1015</v>
      </c>
      <c r="G477" s="8" t="s">
        <v>177</v>
      </c>
      <c r="H477" s="8"/>
      <c r="I477" s="8"/>
      <c r="J477" s="47">
        <v>0.1</v>
      </c>
      <c r="K477" s="8">
        <v>100</v>
      </c>
    </row>
    <row r="478" spans="1:11" x14ac:dyDescent="0.35">
      <c r="A478" s="8">
        <v>477</v>
      </c>
      <c r="B478" s="8" t="s">
        <v>1052</v>
      </c>
      <c r="C478" s="8" t="s">
        <v>113</v>
      </c>
      <c r="D478" s="8" t="s">
        <v>235</v>
      </c>
      <c r="E478" s="8" t="s">
        <v>997</v>
      </c>
      <c r="F478" s="13" t="s">
        <v>1014</v>
      </c>
      <c r="G478" s="8" t="s">
        <v>177</v>
      </c>
      <c r="H478" s="8"/>
      <c r="I478" s="8"/>
      <c r="J478" s="47">
        <v>0.1</v>
      </c>
      <c r="K478" s="8">
        <v>100</v>
      </c>
    </row>
    <row r="479" spans="1:11" x14ac:dyDescent="0.35">
      <c r="A479" s="8">
        <v>478</v>
      </c>
      <c r="B479" s="8" t="s">
        <v>1053</v>
      </c>
      <c r="C479" s="8" t="s">
        <v>113</v>
      </c>
      <c r="D479" s="8" t="s">
        <v>235</v>
      </c>
      <c r="E479" s="8" t="s">
        <v>997</v>
      </c>
      <c r="F479" s="13" t="s">
        <v>1016</v>
      </c>
      <c r="G479" s="8" t="s">
        <v>177</v>
      </c>
      <c r="H479" s="8"/>
      <c r="I479" s="8"/>
      <c r="J479" s="47">
        <v>0.1</v>
      </c>
      <c r="K479" s="8">
        <v>100</v>
      </c>
    </row>
    <row r="480" spans="1:11" x14ac:dyDescent="0.35">
      <c r="A480" s="8">
        <v>479</v>
      </c>
      <c r="B480" s="8" t="s">
        <v>1054</v>
      </c>
      <c r="C480" s="8" t="s">
        <v>113</v>
      </c>
      <c r="D480" s="8" t="s">
        <v>235</v>
      </c>
      <c r="E480" s="8" t="s">
        <v>997</v>
      </c>
      <c r="F480" s="13" t="s">
        <v>1017</v>
      </c>
      <c r="G480" s="8" t="s">
        <v>177</v>
      </c>
      <c r="H480" s="8"/>
      <c r="I480" s="8"/>
      <c r="J480" s="47">
        <v>0.1</v>
      </c>
      <c r="K480" s="8">
        <v>100</v>
      </c>
    </row>
    <row r="481" spans="1:11" x14ac:dyDescent="0.35">
      <c r="A481" s="8">
        <v>480</v>
      </c>
      <c r="B481" s="8" t="s">
        <v>1055</v>
      </c>
      <c r="C481" s="8" t="s">
        <v>113</v>
      </c>
      <c r="D481" s="8" t="s">
        <v>235</v>
      </c>
      <c r="E481" s="8" t="s">
        <v>997</v>
      </c>
      <c r="F481" s="13" t="s">
        <v>1018</v>
      </c>
      <c r="G481" s="8" t="s">
        <v>177</v>
      </c>
      <c r="H481" s="8"/>
      <c r="I481" s="8"/>
      <c r="J481" s="47">
        <v>0.1</v>
      </c>
      <c r="K481" s="8">
        <v>100</v>
      </c>
    </row>
    <row r="482" spans="1:11" x14ac:dyDescent="0.35">
      <c r="A482" s="8">
        <v>481</v>
      </c>
      <c r="B482" s="8" t="s">
        <v>1056</v>
      </c>
      <c r="C482" s="8" t="s">
        <v>113</v>
      </c>
      <c r="D482" s="8" t="s">
        <v>235</v>
      </c>
      <c r="E482" s="8" t="s">
        <v>997</v>
      </c>
      <c r="F482" s="13" t="s">
        <v>1019</v>
      </c>
      <c r="G482" s="8" t="s">
        <v>177</v>
      </c>
      <c r="H482" s="8"/>
      <c r="I482" s="8"/>
      <c r="J482" s="47">
        <v>0.1</v>
      </c>
      <c r="K482" s="8">
        <v>100</v>
      </c>
    </row>
    <row r="483" spans="1:11" x14ac:dyDescent="0.35">
      <c r="A483" s="8">
        <v>482</v>
      </c>
      <c r="B483" s="8" t="s">
        <v>1057</v>
      </c>
      <c r="C483" s="8" t="s">
        <v>113</v>
      </c>
      <c r="D483" s="8" t="s">
        <v>235</v>
      </c>
      <c r="E483" s="8" t="s">
        <v>997</v>
      </c>
      <c r="F483" s="13" t="s">
        <v>1020</v>
      </c>
      <c r="G483" s="8" t="s">
        <v>177</v>
      </c>
      <c r="H483" s="8"/>
      <c r="I483" s="8"/>
      <c r="J483" s="47">
        <v>0.1</v>
      </c>
      <c r="K483" s="8">
        <v>100</v>
      </c>
    </row>
    <row r="484" spans="1:11" x14ac:dyDescent="0.35">
      <c r="A484" s="8">
        <v>483</v>
      </c>
      <c r="B484" s="8" t="s">
        <v>1058</v>
      </c>
      <c r="C484" s="8" t="s">
        <v>113</v>
      </c>
      <c r="D484" s="8" t="s">
        <v>235</v>
      </c>
      <c r="E484" s="8" t="s">
        <v>997</v>
      </c>
      <c r="F484" s="13" t="s">
        <v>1021</v>
      </c>
      <c r="G484" s="8" t="s">
        <v>177</v>
      </c>
      <c r="H484" s="8"/>
      <c r="I484" s="8"/>
      <c r="J484" s="47">
        <v>0.1</v>
      </c>
      <c r="K484" s="8">
        <v>100</v>
      </c>
    </row>
    <row r="485" spans="1:11" x14ac:dyDescent="0.35">
      <c r="A485" s="8">
        <v>484</v>
      </c>
      <c r="B485" s="8" t="s">
        <v>1059</v>
      </c>
      <c r="C485" s="8" t="s">
        <v>113</v>
      </c>
      <c r="D485" s="8" t="s">
        <v>235</v>
      </c>
      <c r="E485" s="8" t="s">
        <v>997</v>
      </c>
      <c r="F485" s="13" t="s">
        <v>1022</v>
      </c>
      <c r="G485" s="8" t="s">
        <v>177</v>
      </c>
      <c r="H485" s="8"/>
      <c r="I485" s="8"/>
      <c r="J485" s="47">
        <v>0.1</v>
      </c>
      <c r="K485" s="8">
        <v>100</v>
      </c>
    </row>
    <row r="486" spans="1:11" x14ac:dyDescent="0.35">
      <c r="A486" s="8">
        <v>485</v>
      </c>
      <c r="B486" s="8" t="s">
        <v>1069</v>
      </c>
      <c r="C486" s="8" t="s">
        <v>113</v>
      </c>
      <c r="D486" s="8" t="s">
        <v>235</v>
      </c>
      <c r="E486" s="8" t="s">
        <v>1068</v>
      </c>
      <c r="F486" s="13" t="s">
        <v>1060</v>
      </c>
      <c r="G486" s="8" t="s">
        <v>177</v>
      </c>
      <c r="H486" s="8"/>
      <c r="I486" s="8"/>
      <c r="J486" s="47">
        <v>0.1</v>
      </c>
      <c r="K486" s="8">
        <v>100</v>
      </c>
    </row>
    <row r="487" spans="1:11" x14ac:dyDescent="0.35">
      <c r="A487" s="8">
        <v>486</v>
      </c>
      <c r="B487" s="8" t="s">
        <v>1070</v>
      </c>
      <c r="C487" s="8" t="s">
        <v>113</v>
      </c>
      <c r="D487" s="8" t="s">
        <v>235</v>
      </c>
      <c r="E487" s="8" t="s">
        <v>1068</v>
      </c>
      <c r="F487" s="13" t="s">
        <v>1061</v>
      </c>
      <c r="G487" s="8" t="s">
        <v>177</v>
      </c>
      <c r="H487" s="8"/>
      <c r="I487" s="8"/>
      <c r="J487" s="47">
        <v>0.1</v>
      </c>
      <c r="K487" s="8">
        <v>100</v>
      </c>
    </row>
    <row r="488" spans="1:11" x14ac:dyDescent="0.35">
      <c r="A488" s="8">
        <v>487</v>
      </c>
      <c r="B488" s="8" t="s">
        <v>1071</v>
      </c>
      <c r="C488" s="8" t="s">
        <v>113</v>
      </c>
      <c r="D488" s="8" t="s">
        <v>235</v>
      </c>
      <c r="E488" s="8" t="s">
        <v>1068</v>
      </c>
      <c r="F488" s="13" t="s">
        <v>1062</v>
      </c>
      <c r="G488" s="8" t="s">
        <v>177</v>
      </c>
      <c r="H488" s="8"/>
      <c r="I488" s="8"/>
      <c r="J488" s="47">
        <v>0.1</v>
      </c>
      <c r="K488" s="8">
        <v>100</v>
      </c>
    </row>
    <row r="489" spans="1:11" x14ac:dyDescent="0.35">
      <c r="A489" s="8">
        <v>488</v>
      </c>
      <c r="B489" s="8" t="s">
        <v>1072</v>
      </c>
      <c r="C489" s="8" t="s">
        <v>113</v>
      </c>
      <c r="D489" s="8" t="s">
        <v>235</v>
      </c>
      <c r="E489" s="8" t="s">
        <v>1068</v>
      </c>
      <c r="F489" s="13" t="s">
        <v>1065</v>
      </c>
      <c r="G489" s="8" t="s">
        <v>177</v>
      </c>
      <c r="H489" s="8"/>
      <c r="I489" s="8"/>
      <c r="J489" s="47">
        <v>0.1</v>
      </c>
      <c r="K489" s="8">
        <v>100</v>
      </c>
    </row>
    <row r="490" spans="1:11" x14ac:dyDescent="0.35">
      <c r="A490" s="8">
        <v>489</v>
      </c>
      <c r="B490" s="8" t="s">
        <v>1073</v>
      </c>
      <c r="C490" s="8" t="s">
        <v>113</v>
      </c>
      <c r="D490" s="8" t="s">
        <v>235</v>
      </c>
      <c r="E490" s="8" t="s">
        <v>1068</v>
      </c>
      <c r="F490" s="13" t="s">
        <v>1066</v>
      </c>
      <c r="G490" s="8" t="s">
        <v>177</v>
      </c>
      <c r="H490" s="8"/>
      <c r="I490" s="8"/>
      <c r="J490" s="47">
        <v>0.1</v>
      </c>
      <c r="K490" s="8">
        <v>100</v>
      </c>
    </row>
    <row r="491" spans="1:11" x14ac:dyDescent="0.35">
      <c r="A491" s="8">
        <v>490</v>
      </c>
      <c r="B491" s="8" t="s">
        <v>1074</v>
      </c>
      <c r="C491" s="8" t="s">
        <v>113</v>
      </c>
      <c r="D491" s="8" t="s">
        <v>235</v>
      </c>
      <c r="E491" s="8" t="s">
        <v>1068</v>
      </c>
      <c r="F491" s="13" t="s">
        <v>1063</v>
      </c>
      <c r="G491" s="8" t="s">
        <v>177</v>
      </c>
      <c r="H491" s="8"/>
      <c r="I491" s="8"/>
      <c r="J491" s="47">
        <v>0.1</v>
      </c>
      <c r="K491" s="8">
        <v>100</v>
      </c>
    </row>
    <row r="492" spans="1:11" x14ac:dyDescent="0.35">
      <c r="A492" s="8">
        <v>491</v>
      </c>
      <c r="B492" s="8" t="s">
        <v>1075</v>
      </c>
      <c r="C492" s="8" t="s">
        <v>113</v>
      </c>
      <c r="D492" s="8" t="s">
        <v>235</v>
      </c>
      <c r="E492" s="8" t="s">
        <v>1068</v>
      </c>
      <c r="F492" s="13" t="s">
        <v>1064</v>
      </c>
      <c r="G492" s="8" t="s">
        <v>177</v>
      </c>
      <c r="H492" s="8"/>
      <c r="I492" s="8"/>
      <c r="J492" s="47">
        <v>0.1</v>
      </c>
      <c r="K492" s="8">
        <v>100</v>
      </c>
    </row>
    <row r="493" spans="1:11" x14ac:dyDescent="0.35">
      <c r="A493" s="8">
        <v>492</v>
      </c>
      <c r="B493" s="8" t="s">
        <v>1076</v>
      </c>
      <c r="C493" s="8" t="s">
        <v>113</v>
      </c>
      <c r="D493" s="8" t="s">
        <v>235</v>
      </c>
      <c r="E493" s="8" t="s">
        <v>1068</v>
      </c>
      <c r="F493" s="13" t="s">
        <v>1067</v>
      </c>
      <c r="G493" s="8" t="s">
        <v>177</v>
      </c>
      <c r="H493" s="8"/>
      <c r="I493" s="8"/>
      <c r="J493" s="47">
        <v>0.1</v>
      </c>
      <c r="K493" s="8">
        <v>100</v>
      </c>
    </row>
    <row r="494" spans="1:11" x14ac:dyDescent="0.35">
      <c r="A494" s="8">
        <v>493</v>
      </c>
      <c r="B494" s="8" t="s">
        <v>1096</v>
      </c>
      <c r="C494" s="8" t="s">
        <v>114</v>
      </c>
      <c r="D494" s="8" t="s">
        <v>144</v>
      </c>
      <c r="E494" s="8"/>
      <c r="F494" s="13" t="s">
        <v>1077</v>
      </c>
      <c r="G494" s="8" t="s">
        <v>60</v>
      </c>
      <c r="H494" s="8"/>
      <c r="I494" s="8"/>
      <c r="J494" s="47">
        <v>0.1</v>
      </c>
      <c r="K494" s="8">
        <v>100</v>
      </c>
    </row>
    <row r="495" spans="1:11" x14ac:dyDescent="0.35">
      <c r="A495" s="8">
        <v>494</v>
      </c>
      <c r="B495" s="8" t="s">
        <v>1098</v>
      </c>
      <c r="C495" s="8" t="s">
        <v>114</v>
      </c>
      <c r="D495" s="8" t="s">
        <v>144</v>
      </c>
      <c r="E495" s="8"/>
      <c r="F495" s="13" t="s">
        <v>1078</v>
      </c>
      <c r="G495" s="8" t="s">
        <v>60</v>
      </c>
      <c r="H495" s="8"/>
      <c r="I495" s="8"/>
      <c r="J495" s="47">
        <v>0.1</v>
      </c>
      <c r="K495" s="8">
        <v>100</v>
      </c>
    </row>
    <row r="496" spans="1:11" x14ac:dyDescent="0.35">
      <c r="A496" s="8">
        <v>495</v>
      </c>
      <c r="B496" s="8" t="s">
        <v>1099</v>
      </c>
      <c r="C496" s="8" t="s">
        <v>114</v>
      </c>
      <c r="D496" s="8" t="s">
        <v>144</v>
      </c>
      <c r="E496" s="8"/>
      <c r="F496" s="13" t="s">
        <v>1079</v>
      </c>
      <c r="G496" s="8" t="s">
        <v>60</v>
      </c>
      <c r="H496" s="8"/>
      <c r="I496" s="8"/>
      <c r="J496" s="47">
        <v>0.1</v>
      </c>
      <c r="K496" s="8">
        <v>100</v>
      </c>
    </row>
    <row r="497" spans="1:11" x14ac:dyDescent="0.35">
      <c r="A497" s="8">
        <v>496</v>
      </c>
      <c r="B497" s="8" t="s">
        <v>1100</v>
      </c>
      <c r="C497" s="8" t="s">
        <v>114</v>
      </c>
      <c r="D497" s="8" t="s">
        <v>144</v>
      </c>
      <c r="E497" s="8"/>
      <c r="F497" s="13" t="s">
        <v>1080</v>
      </c>
      <c r="G497" s="8" t="s">
        <v>60</v>
      </c>
      <c r="H497" s="8"/>
      <c r="I497" s="8"/>
      <c r="J497" s="47">
        <v>0.1</v>
      </c>
      <c r="K497" s="8">
        <v>100</v>
      </c>
    </row>
    <row r="498" spans="1:11" x14ac:dyDescent="0.35">
      <c r="A498" s="8">
        <v>497</v>
      </c>
      <c r="B498" s="8" t="s">
        <v>1101</v>
      </c>
      <c r="C498" s="8" t="s">
        <v>114</v>
      </c>
      <c r="D498" s="8" t="s">
        <v>144</v>
      </c>
      <c r="E498" s="8"/>
      <c r="F498" s="13" t="s">
        <v>1081</v>
      </c>
      <c r="G498" s="8" t="s">
        <v>60</v>
      </c>
      <c r="H498" s="8"/>
      <c r="I498" s="8"/>
      <c r="J498" s="47">
        <v>0.1</v>
      </c>
      <c r="K498" s="8">
        <v>100</v>
      </c>
    </row>
    <row r="499" spans="1:11" x14ac:dyDescent="0.35">
      <c r="A499" s="8">
        <v>498</v>
      </c>
      <c r="B499" s="8" t="s">
        <v>1102</v>
      </c>
      <c r="C499" s="8" t="s">
        <v>114</v>
      </c>
      <c r="D499" s="8" t="s">
        <v>144</v>
      </c>
      <c r="E499" s="8"/>
      <c r="F499" s="13" t="s">
        <v>1093</v>
      </c>
      <c r="G499" s="8" t="s">
        <v>60</v>
      </c>
      <c r="H499" s="8"/>
      <c r="I499" s="8"/>
      <c r="J499" s="47">
        <v>0.1</v>
      </c>
      <c r="K499" s="8">
        <v>100</v>
      </c>
    </row>
    <row r="500" spans="1:11" x14ac:dyDescent="0.35">
      <c r="A500" s="8">
        <v>499</v>
      </c>
      <c r="B500" s="8" t="s">
        <v>1103</v>
      </c>
      <c r="C500" s="8" t="s">
        <v>114</v>
      </c>
      <c r="D500" s="8" t="s">
        <v>144</v>
      </c>
      <c r="E500" s="8"/>
      <c r="F500" s="13" t="s">
        <v>1082</v>
      </c>
      <c r="G500" s="8" t="s">
        <v>60</v>
      </c>
      <c r="H500" s="8"/>
      <c r="I500" s="8"/>
      <c r="J500" s="47">
        <v>0.1</v>
      </c>
      <c r="K500" s="8">
        <v>100</v>
      </c>
    </row>
    <row r="501" spans="1:11" x14ac:dyDescent="0.35">
      <c r="A501" s="8">
        <v>500</v>
      </c>
      <c r="B501" s="8" t="s">
        <v>1104</v>
      </c>
      <c r="C501" s="8" t="s">
        <v>114</v>
      </c>
      <c r="D501" s="8" t="s">
        <v>144</v>
      </c>
      <c r="E501" s="8"/>
      <c r="F501" s="13" t="s">
        <v>1083</v>
      </c>
      <c r="G501" s="8" t="s">
        <v>60</v>
      </c>
      <c r="H501" s="8"/>
      <c r="I501" s="8"/>
      <c r="J501" s="47">
        <v>0.1</v>
      </c>
      <c r="K501" s="8">
        <v>100</v>
      </c>
    </row>
    <row r="502" spans="1:11" x14ac:dyDescent="0.35">
      <c r="A502" s="8">
        <v>501</v>
      </c>
      <c r="B502" s="8" t="s">
        <v>1105</v>
      </c>
      <c r="C502" s="8" t="s">
        <v>114</v>
      </c>
      <c r="D502" s="8" t="s">
        <v>144</v>
      </c>
      <c r="E502" s="8"/>
      <c r="F502" s="13" t="s">
        <v>1084</v>
      </c>
      <c r="G502" s="8" t="s">
        <v>60</v>
      </c>
      <c r="H502" s="8"/>
      <c r="I502" s="8"/>
      <c r="J502" s="47">
        <v>0.1</v>
      </c>
      <c r="K502" s="8">
        <v>100</v>
      </c>
    </row>
    <row r="503" spans="1:11" x14ac:dyDescent="0.35">
      <c r="A503" s="8">
        <v>502</v>
      </c>
      <c r="B503" s="8" t="s">
        <v>1106</v>
      </c>
      <c r="C503" s="8" t="s">
        <v>114</v>
      </c>
      <c r="D503" s="8" t="s">
        <v>144</v>
      </c>
      <c r="E503" s="8"/>
      <c r="F503" s="13" t="s">
        <v>1090</v>
      </c>
      <c r="G503" s="8" t="s">
        <v>60</v>
      </c>
      <c r="H503" s="8"/>
      <c r="I503" s="8"/>
      <c r="J503" s="47">
        <v>0.1</v>
      </c>
      <c r="K503" s="8">
        <v>100</v>
      </c>
    </row>
    <row r="504" spans="1:11" x14ac:dyDescent="0.35">
      <c r="A504" s="8">
        <v>503</v>
      </c>
      <c r="B504" s="8" t="s">
        <v>1107</v>
      </c>
      <c r="C504" s="8" t="s">
        <v>114</v>
      </c>
      <c r="D504" s="8" t="s">
        <v>144</v>
      </c>
      <c r="E504" s="8"/>
      <c r="F504" s="13" t="s">
        <v>1091</v>
      </c>
      <c r="G504" s="8" t="s">
        <v>60</v>
      </c>
      <c r="H504" s="8"/>
      <c r="I504" s="8"/>
      <c r="J504" s="47">
        <v>0.1</v>
      </c>
      <c r="K504" s="8">
        <v>100</v>
      </c>
    </row>
    <row r="505" spans="1:11" x14ac:dyDescent="0.35">
      <c r="A505" s="8">
        <v>504</v>
      </c>
      <c r="B505" s="8" t="s">
        <v>1097</v>
      </c>
      <c r="C505" s="8" t="s">
        <v>114</v>
      </c>
      <c r="D505" s="8" t="s">
        <v>1092</v>
      </c>
      <c r="E505" s="8"/>
      <c r="F505" s="13" t="s">
        <v>1081</v>
      </c>
      <c r="G505" s="8" t="s">
        <v>60</v>
      </c>
      <c r="H505" s="8"/>
      <c r="I505" s="8"/>
      <c r="J505" s="47">
        <v>0.1</v>
      </c>
      <c r="K505" s="8">
        <v>100</v>
      </c>
    </row>
    <row r="506" spans="1:11" x14ac:dyDescent="0.35">
      <c r="A506" s="8">
        <v>505</v>
      </c>
      <c r="B506" s="8" t="s">
        <v>1109</v>
      </c>
      <c r="C506" s="8" t="s">
        <v>114</v>
      </c>
      <c r="D506" s="8" t="s">
        <v>1092</v>
      </c>
      <c r="E506" s="8"/>
      <c r="F506" s="13" t="s">
        <v>1085</v>
      </c>
      <c r="G506" s="8" t="s">
        <v>60</v>
      </c>
      <c r="H506" s="8"/>
      <c r="I506" s="8"/>
      <c r="J506" s="47">
        <v>0.1</v>
      </c>
      <c r="K506" s="8">
        <v>100</v>
      </c>
    </row>
    <row r="507" spans="1:11" x14ac:dyDescent="0.35">
      <c r="A507" s="8">
        <v>506</v>
      </c>
      <c r="B507" s="8" t="s">
        <v>1110</v>
      </c>
      <c r="C507" s="8" t="s">
        <v>114</v>
      </c>
      <c r="D507" s="8" t="s">
        <v>1092</v>
      </c>
      <c r="E507" s="8"/>
      <c r="F507" s="13" t="s">
        <v>1086</v>
      </c>
      <c r="G507" s="8" t="s">
        <v>60</v>
      </c>
      <c r="H507" s="8"/>
      <c r="I507" s="8"/>
      <c r="J507" s="47">
        <v>0.1</v>
      </c>
      <c r="K507" s="8">
        <v>100</v>
      </c>
    </row>
    <row r="508" spans="1:11" x14ac:dyDescent="0.35">
      <c r="A508" s="8">
        <v>507</v>
      </c>
      <c r="B508" s="8" t="s">
        <v>1111</v>
      </c>
      <c r="C508" s="8" t="s">
        <v>114</v>
      </c>
      <c r="D508" s="8" t="s">
        <v>1092</v>
      </c>
      <c r="E508" s="8"/>
      <c r="F508" s="13" t="s">
        <v>1087</v>
      </c>
      <c r="G508" s="8" t="s">
        <v>60</v>
      </c>
      <c r="H508" s="8"/>
      <c r="I508" s="8"/>
      <c r="J508" s="47">
        <v>0.1</v>
      </c>
      <c r="K508" s="8">
        <v>100</v>
      </c>
    </row>
    <row r="509" spans="1:11" x14ac:dyDescent="0.35">
      <c r="A509" s="8">
        <v>508</v>
      </c>
      <c r="B509" s="8" t="s">
        <v>1112</v>
      </c>
      <c r="C509" s="8" t="s">
        <v>114</v>
      </c>
      <c r="D509" s="8" t="s">
        <v>1092</v>
      </c>
      <c r="E509" s="8"/>
      <c r="F509" s="13" t="s">
        <v>1088</v>
      </c>
      <c r="G509" s="8" t="s">
        <v>60</v>
      </c>
      <c r="H509" s="8"/>
      <c r="I509" s="8"/>
      <c r="J509" s="47">
        <v>0.1</v>
      </c>
      <c r="K509" s="8">
        <v>100</v>
      </c>
    </row>
    <row r="510" spans="1:11" x14ac:dyDescent="0.35">
      <c r="A510" s="8">
        <v>509</v>
      </c>
      <c r="B510" s="8" t="s">
        <v>1113</v>
      </c>
      <c r="C510" s="8" t="s">
        <v>114</v>
      </c>
      <c r="D510" s="8" t="s">
        <v>1092</v>
      </c>
      <c r="E510" s="8"/>
      <c r="F510" s="13" t="s">
        <v>1089</v>
      </c>
      <c r="G510" s="8" t="s">
        <v>60</v>
      </c>
      <c r="H510" s="8"/>
      <c r="I510" s="8"/>
      <c r="J510" s="47">
        <v>0.1</v>
      </c>
      <c r="K510" s="8">
        <v>100</v>
      </c>
    </row>
    <row r="511" spans="1:11" x14ac:dyDescent="0.35">
      <c r="A511" s="8">
        <v>510</v>
      </c>
      <c r="B511" s="8" t="s">
        <v>1114</v>
      </c>
      <c r="C511" s="8" t="s">
        <v>114</v>
      </c>
      <c r="D511" s="8" t="s">
        <v>1092</v>
      </c>
      <c r="E511" s="8"/>
      <c r="F511" s="13" t="s">
        <v>1090</v>
      </c>
      <c r="G511" s="8" t="s">
        <v>60</v>
      </c>
      <c r="H511" s="8"/>
      <c r="I511" s="8"/>
      <c r="J511" s="47">
        <v>0.1</v>
      </c>
      <c r="K511" s="8">
        <v>100</v>
      </c>
    </row>
    <row r="512" spans="1:11" x14ac:dyDescent="0.35">
      <c r="A512" s="8">
        <v>511</v>
      </c>
      <c r="B512" s="8" t="s">
        <v>1115</v>
      </c>
      <c r="C512" s="8" t="s">
        <v>114</v>
      </c>
      <c r="D512" s="8" t="s">
        <v>1092</v>
      </c>
      <c r="E512" s="8"/>
      <c r="F512" s="13" t="s">
        <v>1091</v>
      </c>
      <c r="G512" s="8" t="s">
        <v>60</v>
      </c>
      <c r="H512" s="8"/>
      <c r="I512" s="8"/>
      <c r="J512" s="47">
        <v>0.1</v>
      </c>
      <c r="K512" s="8">
        <v>100</v>
      </c>
    </row>
    <row r="513" spans="1:11" x14ac:dyDescent="0.35">
      <c r="A513" s="8">
        <v>512</v>
      </c>
      <c r="B513" s="8" t="s">
        <v>1108</v>
      </c>
      <c r="C513" s="8" t="s">
        <v>114</v>
      </c>
      <c r="D513" s="8" t="s">
        <v>235</v>
      </c>
      <c r="E513" s="8"/>
      <c r="F513" s="13" t="s">
        <v>1090</v>
      </c>
      <c r="G513" s="8" t="s">
        <v>60</v>
      </c>
      <c r="H513" s="8"/>
      <c r="I513" s="8"/>
      <c r="J513" s="47">
        <v>0.1</v>
      </c>
      <c r="K513" s="8">
        <v>100</v>
      </c>
    </row>
    <row r="514" spans="1:11" x14ac:dyDescent="0.35">
      <c r="A514" s="8">
        <v>513</v>
      </c>
      <c r="B514" s="8" t="s">
        <v>1116</v>
      </c>
      <c r="C514" s="8" t="s">
        <v>114</v>
      </c>
      <c r="D514" s="8" t="s">
        <v>235</v>
      </c>
      <c r="E514" s="8"/>
      <c r="F514" s="13" t="s">
        <v>1091</v>
      </c>
      <c r="G514" s="8" t="s">
        <v>60</v>
      </c>
      <c r="H514" s="8"/>
      <c r="I514" s="8"/>
      <c r="J514" s="47">
        <v>0.1</v>
      </c>
      <c r="K514" s="8">
        <v>100</v>
      </c>
    </row>
    <row r="515" spans="1:11" x14ac:dyDescent="0.35">
      <c r="A515" s="8">
        <v>514</v>
      </c>
      <c r="B515" s="8" t="s">
        <v>1117</v>
      </c>
      <c r="C515" s="8" t="s">
        <v>114</v>
      </c>
      <c r="D515" s="8" t="s">
        <v>235</v>
      </c>
      <c r="E515" s="8"/>
      <c r="F515" s="13" t="s">
        <v>1081</v>
      </c>
      <c r="G515" s="8" t="s">
        <v>60</v>
      </c>
      <c r="H515" s="8"/>
      <c r="I515" s="8"/>
      <c r="J515" s="47">
        <v>0.1</v>
      </c>
      <c r="K515" s="8">
        <v>100</v>
      </c>
    </row>
    <row r="516" spans="1:11" x14ac:dyDescent="0.35">
      <c r="A516" s="8">
        <v>515</v>
      </c>
      <c r="B516" s="8" t="s">
        <v>1118</v>
      </c>
      <c r="C516" s="8" t="s">
        <v>114</v>
      </c>
      <c r="D516" s="8" t="s">
        <v>235</v>
      </c>
      <c r="E516" s="8"/>
      <c r="F516" s="13" t="s">
        <v>1093</v>
      </c>
      <c r="G516" s="8" t="s">
        <v>60</v>
      </c>
      <c r="H516" s="8"/>
      <c r="I516" s="8"/>
      <c r="J516" s="47">
        <v>0.1</v>
      </c>
      <c r="K516" s="8">
        <v>100</v>
      </c>
    </row>
    <row r="517" spans="1:11" x14ac:dyDescent="0.35">
      <c r="A517" s="8">
        <v>516</v>
      </c>
      <c r="B517" s="8" t="s">
        <v>1119</v>
      </c>
      <c r="C517" s="8" t="s">
        <v>114</v>
      </c>
      <c r="D517" s="8" t="s">
        <v>235</v>
      </c>
      <c r="E517" s="8"/>
      <c r="F517" s="13" t="s">
        <v>1094</v>
      </c>
      <c r="G517" s="8" t="s">
        <v>60</v>
      </c>
      <c r="H517" s="8"/>
      <c r="I517" s="8"/>
      <c r="J517" s="47">
        <v>0.1</v>
      </c>
      <c r="K517" s="8">
        <v>100</v>
      </c>
    </row>
    <row r="518" spans="1:11" x14ac:dyDescent="0.35">
      <c r="A518" s="8">
        <v>517</v>
      </c>
      <c r="B518" s="8" t="s">
        <v>1120</v>
      </c>
      <c r="C518" s="8" t="s">
        <v>114</v>
      </c>
      <c r="D518" s="8" t="s">
        <v>235</v>
      </c>
      <c r="E518" s="8"/>
      <c r="F518" s="13" t="s">
        <v>1095</v>
      </c>
      <c r="G518" s="8" t="s">
        <v>60</v>
      </c>
      <c r="H518" s="8"/>
      <c r="I518" s="8"/>
      <c r="J518" s="47">
        <v>0.1</v>
      </c>
      <c r="K518" s="8">
        <v>100</v>
      </c>
    </row>
    <row r="519" spans="1:11" x14ac:dyDescent="0.35">
      <c r="A519" s="8">
        <v>518</v>
      </c>
      <c r="B519" s="8" t="s">
        <v>1120</v>
      </c>
      <c r="C519" s="8" t="s">
        <v>114</v>
      </c>
      <c r="D519" s="8" t="s">
        <v>235</v>
      </c>
      <c r="E519" s="8"/>
      <c r="F519" s="13" t="s">
        <v>1095</v>
      </c>
      <c r="G519" s="8" t="s">
        <v>60</v>
      </c>
      <c r="H519" s="8"/>
      <c r="I519" s="8"/>
      <c r="J519" s="47">
        <v>0.1</v>
      </c>
      <c r="K519" s="8">
        <v>100</v>
      </c>
    </row>
    <row r="520" spans="1:11" x14ac:dyDescent="0.35">
      <c r="A520" s="8">
        <v>519</v>
      </c>
      <c r="B520" s="8" t="s">
        <v>1475</v>
      </c>
      <c r="C520" s="8" t="s">
        <v>123</v>
      </c>
      <c r="D520" s="8" t="s">
        <v>1508</v>
      </c>
      <c r="E520" s="8"/>
      <c r="F520" s="13" t="s">
        <v>1125</v>
      </c>
      <c r="G520" s="8" t="s">
        <v>1147</v>
      </c>
      <c r="H520" s="8"/>
      <c r="I520" s="8"/>
      <c r="J520" s="47">
        <v>0</v>
      </c>
      <c r="K520" s="8">
        <v>100000</v>
      </c>
    </row>
    <row r="521" spans="1:11" x14ac:dyDescent="0.35">
      <c r="A521" s="8">
        <v>520</v>
      </c>
      <c r="B521" s="8" t="s">
        <v>1476</v>
      </c>
      <c r="C521" s="8" t="s">
        <v>123</v>
      </c>
      <c r="D521" s="8" t="s">
        <v>1508</v>
      </c>
      <c r="E521" s="8"/>
      <c r="F521" s="13" t="s">
        <v>1126</v>
      </c>
      <c r="G521" s="8" t="s">
        <v>1147</v>
      </c>
      <c r="H521" s="8"/>
      <c r="I521" s="8"/>
      <c r="J521" s="47">
        <v>0</v>
      </c>
      <c r="K521" s="8">
        <v>100000</v>
      </c>
    </row>
    <row r="522" spans="1:11" x14ac:dyDescent="0.35">
      <c r="A522" s="8">
        <v>521</v>
      </c>
      <c r="B522" s="8" t="s">
        <v>1477</v>
      </c>
      <c r="C522" s="8" t="s">
        <v>123</v>
      </c>
      <c r="D522" s="8" t="s">
        <v>1508</v>
      </c>
      <c r="E522" s="8"/>
      <c r="F522" s="41" t="s">
        <v>1127</v>
      </c>
      <c r="G522" s="8" t="s">
        <v>1147</v>
      </c>
      <c r="H522" s="8"/>
      <c r="I522" s="8"/>
      <c r="J522" s="47">
        <v>0</v>
      </c>
      <c r="K522" s="8">
        <v>100000</v>
      </c>
    </row>
    <row r="523" spans="1:11" x14ac:dyDescent="0.35">
      <c r="A523" s="8">
        <v>522</v>
      </c>
      <c r="B523" s="8" t="s">
        <v>1478</v>
      </c>
      <c r="C523" s="8" t="s">
        <v>123</v>
      </c>
      <c r="D523" s="8" t="s">
        <v>1508</v>
      </c>
      <c r="E523" s="8"/>
      <c r="F523" s="41" t="s">
        <v>1128</v>
      </c>
      <c r="G523" s="8" t="s">
        <v>1147</v>
      </c>
      <c r="H523" s="8"/>
      <c r="I523" s="8"/>
      <c r="J523" s="47">
        <v>0</v>
      </c>
      <c r="K523" s="8">
        <v>100000</v>
      </c>
    </row>
    <row r="524" spans="1:11" x14ac:dyDescent="0.35">
      <c r="A524" s="8">
        <v>523</v>
      </c>
      <c r="B524" s="8" t="s">
        <v>1479</v>
      </c>
      <c r="C524" s="8" t="s">
        <v>123</v>
      </c>
      <c r="D524" s="8" t="s">
        <v>1508</v>
      </c>
      <c r="E524" s="8"/>
      <c r="F524" s="41" t="s">
        <v>1129</v>
      </c>
      <c r="G524" s="8" t="s">
        <v>1147</v>
      </c>
      <c r="H524" s="8"/>
      <c r="I524" s="8"/>
      <c r="J524" s="47">
        <v>0</v>
      </c>
      <c r="K524" s="8">
        <v>100000</v>
      </c>
    </row>
    <row r="525" spans="1:11" x14ac:dyDescent="0.35">
      <c r="A525" s="8">
        <v>524</v>
      </c>
      <c r="B525" s="8" t="s">
        <v>1480</v>
      </c>
      <c r="C525" s="8" t="s">
        <v>123</v>
      </c>
      <c r="D525" s="8" t="s">
        <v>1508</v>
      </c>
      <c r="E525" s="8"/>
      <c r="F525" s="41" t="s">
        <v>1130</v>
      </c>
      <c r="G525" s="8" t="s">
        <v>1147</v>
      </c>
      <c r="H525" s="8"/>
      <c r="I525" s="8"/>
      <c r="J525" s="47">
        <v>0</v>
      </c>
      <c r="K525" s="8">
        <v>100000</v>
      </c>
    </row>
    <row r="526" spans="1:11" x14ac:dyDescent="0.35">
      <c r="A526" s="8">
        <v>525</v>
      </c>
      <c r="B526" s="8" t="s">
        <v>1481</v>
      </c>
      <c r="C526" s="8" t="s">
        <v>123</v>
      </c>
      <c r="D526" s="8" t="s">
        <v>1508</v>
      </c>
      <c r="E526" s="8"/>
      <c r="F526" s="41" t="s">
        <v>1131</v>
      </c>
      <c r="G526" s="8" t="s">
        <v>1147</v>
      </c>
      <c r="H526" s="8"/>
      <c r="I526" s="8"/>
      <c r="J526" s="47">
        <v>0</v>
      </c>
      <c r="K526" s="8">
        <v>100000</v>
      </c>
    </row>
    <row r="527" spans="1:11" x14ac:dyDescent="0.35">
      <c r="A527" s="8">
        <v>526</v>
      </c>
      <c r="B527" s="8" t="s">
        <v>1482</v>
      </c>
      <c r="C527" s="8" t="s">
        <v>123</v>
      </c>
      <c r="D527" s="8" t="s">
        <v>1508</v>
      </c>
      <c r="E527" s="8"/>
      <c r="F527" s="41" t="s">
        <v>1132</v>
      </c>
      <c r="G527" s="8" t="s">
        <v>1147</v>
      </c>
      <c r="H527" s="8"/>
      <c r="I527" s="8"/>
      <c r="J527" s="47">
        <v>0</v>
      </c>
      <c r="K527" s="8">
        <v>100000</v>
      </c>
    </row>
    <row r="528" spans="1:11" x14ac:dyDescent="0.35">
      <c r="A528" s="8">
        <v>527</v>
      </c>
      <c r="B528" s="8" t="s">
        <v>1483</v>
      </c>
      <c r="C528" s="8" t="s">
        <v>123</v>
      </c>
      <c r="D528" s="8" t="s">
        <v>1508</v>
      </c>
      <c r="E528" s="8"/>
      <c r="F528" s="41" t="s">
        <v>1133</v>
      </c>
      <c r="G528" s="8" t="s">
        <v>1147</v>
      </c>
      <c r="H528" s="8"/>
      <c r="I528" s="8"/>
      <c r="J528" s="47">
        <v>0</v>
      </c>
      <c r="K528" s="8">
        <v>100000</v>
      </c>
    </row>
    <row r="529" spans="1:11" x14ac:dyDescent="0.35">
      <c r="A529" s="8">
        <v>528</v>
      </c>
      <c r="B529" s="8" t="s">
        <v>1484</v>
      </c>
      <c r="C529" s="8" t="s">
        <v>123</v>
      </c>
      <c r="D529" s="8" t="s">
        <v>71</v>
      </c>
      <c r="E529" s="8"/>
      <c r="F529" s="41" t="s">
        <v>1238</v>
      </c>
      <c r="G529" s="8" t="s">
        <v>1147</v>
      </c>
      <c r="H529" s="8"/>
      <c r="I529" s="8"/>
      <c r="J529" s="47">
        <v>0</v>
      </c>
      <c r="K529" s="8">
        <v>100000</v>
      </c>
    </row>
    <row r="530" spans="1:11" x14ac:dyDescent="0.35">
      <c r="A530" s="8">
        <v>529</v>
      </c>
      <c r="B530" s="8" t="s">
        <v>1502</v>
      </c>
      <c r="C530" s="8" t="s">
        <v>123</v>
      </c>
      <c r="D530" s="8" t="s">
        <v>71</v>
      </c>
      <c r="E530" s="8"/>
      <c r="F530" s="41" t="s">
        <v>1239</v>
      </c>
      <c r="G530" s="8" t="s">
        <v>1147</v>
      </c>
      <c r="H530" s="8"/>
      <c r="I530" s="8"/>
      <c r="J530" s="47">
        <v>0</v>
      </c>
      <c r="K530" s="8">
        <v>100000</v>
      </c>
    </row>
    <row r="531" spans="1:11" x14ac:dyDescent="0.35">
      <c r="A531" s="8">
        <v>530</v>
      </c>
      <c r="B531" s="8" t="s">
        <v>1503</v>
      </c>
      <c r="C531" s="8" t="s">
        <v>123</v>
      </c>
      <c r="D531" s="8" t="s">
        <v>71</v>
      </c>
      <c r="E531" s="8"/>
      <c r="F531" s="41" t="s">
        <v>1240</v>
      </c>
      <c r="G531" s="8" t="s">
        <v>1147</v>
      </c>
      <c r="H531" s="8"/>
      <c r="I531" s="8"/>
      <c r="J531" s="47">
        <v>0</v>
      </c>
      <c r="K531" s="8">
        <v>100000</v>
      </c>
    </row>
    <row r="532" spans="1:11" x14ac:dyDescent="0.35">
      <c r="A532" s="8">
        <v>531</v>
      </c>
      <c r="B532" s="8" t="s">
        <v>1504</v>
      </c>
      <c r="C532" s="8" t="s">
        <v>123</v>
      </c>
      <c r="D532" s="8" t="s">
        <v>71</v>
      </c>
      <c r="E532" s="8"/>
      <c r="F532" s="41" t="s">
        <v>1241</v>
      </c>
      <c r="G532" s="8" t="s">
        <v>1147</v>
      </c>
      <c r="H532" s="8"/>
      <c r="I532" s="8"/>
      <c r="J532" s="47">
        <v>0</v>
      </c>
      <c r="K532" s="8">
        <v>100000</v>
      </c>
    </row>
    <row r="533" spans="1:11" x14ac:dyDescent="0.35">
      <c r="A533" s="8">
        <v>532</v>
      </c>
      <c r="B533" s="8" t="s">
        <v>1505</v>
      </c>
      <c r="C533" s="8" t="s">
        <v>123</v>
      </c>
      <c r="D533" s="8" t="s">
        <v>71</v>
      </c>
      <c r="E533" s="8"/>
      <c r="F533" s="41" t="s">
        <v>1242</v>
      </c>
      <c r="G533" s="8" t="s">
        <v>1147</v>
      </c>
      <c r="H533" s="8"/>
      <c r="I533" s="8"/>
      <c r="J533" s="47">
        <v>0</v>
      </c>
      <c r="K533" s="8">
        <v>100000</v>
      </c>
    </row>
    <row r="534" spans="1:11" x14ac:dyDescent="0.35">
      <c r="A534" s="8">
        <v>533</v>
      </c>
      <c r="B534" s="8" t="s">
        <v>1506</v>
      </c>
      <c r="C534" s="8" t="s">
        <v>123</v>
      </c>
      <c r="D534" s="8" t="s">
        <v>71</v>
      </c>
      <c r="E534" s="8"/>
      <c r="F534" s="41" t="s">
        <v>1243</v>
      </c>
      <c r="G534" s="8" t="s">
        <v>1147</v>
      </c>
      <c r="H534" s="8"/>
      <c r="I534" s="8"/>
      <c r="J534" s="47">
        <v>0</v>
      </c>
      <c r="K534" s="8">
        <v>100000</v>
      </c>
    </row>
    <row r="535" spans="1:11" x14ac:dyDescent="0.35">
      <c r="A535" s="8">
        <v>534</v>
      </c>
      <c r="B535" s="8" t="s">
        <v>1507</v>
      </c>
      <c r="C535" s="8" t="s">
        <v>123</v>
      </c>
      <c r="D535" s="8" t="s">
        <v>71</v>
      </c>
      <c r="E535" s="8"/>
      <c r="F535" s="41" t="s">
        <v>1244</v>
      </c>
      <c r="G535" s="8" t="s">
        <v>1147</v>
      </c>
      <c r="H535" s="8"/>
      <c r="I535" s="8"/>
      <c r="J535" s="47">
        <v>0</v>
      </c>
      <c r="K535" s="8">
        <v>100000</v>
      </c>
    </row>
  </sheetData>
  <phoneticPr fontId="4" type="noConversion"/>
  <pageMargins left="0.7" right="0.7" top="0.75" bottom="0.75" header="0.3" footer="0.3"/>
  <pageSetup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0"/>
  <sheetViews>
    <sheetView view="pageBreakPreview" topLeftCell="A245" zoomScaleNormal="100" zoomScaleSheetLayoutView="100" workbookViewId="0">
      <selection activeCell="A245" sqref="A1:XFD1048576"/>
    </sheetView>
  </sheetViews>
  <sheetFormatPr defaultRowHeight="14.5" x14ac:dyDescent="0.35"/>
  <cols>
    <col min="1" max="1" width="6.36328125" style="9" bestFit="1" customWidth="1"/>
    <col min="2" max="2" width="31.54296875" customWidth="1"/>
    <col min="3" max="3" width="11.54296875" style="9" customWidth="1"/>
    <col min="4" max="4" width="8.1796875" style="9" customWidth="1"/>
    <col min="5" max="5" width="9.81640625" style="15" customWidth="1"/>
    <col min="6" max="6" width="11" style="15" customWidth="1"/>
  </cols>
  <sheetData>
    <row r="1" spans="1:6" x14ac:dyDescent="0.35">
      <c r="A1" s="57" t="s">
        <v>1134</v>
      </c>
      <c r="B1" s="57"/>
      <c r="C1" s="57"/>
      <c r="D1" s="57"/>
      <c r="E1" s="57"/>
      <c r="F1" s="57"/>
    </row>
    <row r="2" spans="1:6" x14ac:dyDescent="0.35">
      <c r="A2" s="57" t="s">
        <v>1123</v>
      </c>
      <c r="B2" s="57"/>
      <c r="C2" s="57"/>
      <c r="D2" s="57"/>
      <c r="E2" s="57"/>
      <c r="F2" s="57"/>
    </row>
    <row r="3" spans="1:6" s="6" customFormat="1" x14ac:dyDescent="0.35">
      <c r="A3" s="5" t="s">
        <v>110</v>
      </c>
      <c r="B3" s="5" t="s">
        <v>1121</v>
      </c>
      <c r="C3" s="5" t="s">
        <v>3</v>
      </c>
      <c r="D3" s="5" t="s">
        <v>1</v>
      </c>
      <c r="E3" s="16" t="s">
        <v>75</v>
      </c>
      <c r="F3" s="16" t="s">
        <v>1122</v>
      </c>
    </row>
    <row r="4" spans="1:6" x14ac:dyDescent="0.35">
      <c r="A4" s="12">
        <v>1</v>
      </c>
      <c r="B4" s="10" t="s">
        <v>1124</v>
      </c>
      <c r="C4" s="12"/>
      <c r="D4" s="12"/>
      <c r="E4" s="18"/>
      <c r="F4" s="18"/>
    </row>
    <row r="5" spans="1:6" x14ac:dyDescent="0.35">
      <c r="A5" s="8"/>
      <c r="B5" s="4"/>
      <c r="C5" s="8"/>
      <c r="D5" s="8"/>
      <c r="E5" s="17"/>
      <c r="F5" s="17"/>
    </row>
    <row r="6" spans="1:6" x14ac:dyDescent="0.35">
      <c r="A6" s="8" t="s">
        <v>1135</v>
      </c>
      <c r="B6" s="4" t="s">
        <v>1125</v>
      </c>
      <c r="C6" s="8">
        <v>1</v>
      </c>
      <c r="D6" s="8" t="s">
        <v>1147</v>
      </c>
      <c r="E6" s="17"/>
      <c r="F6" s="17">
        <f>E6*C6</f>
        <v>0</v>
      </c>
    </row>
    <row r="7" spans="1:6" x14ac:dyDescent="0.35">
      <c r="A7" s="8"/>
      <c r="B7" s="4"/>
      <c r="C7" s="8"/>
      <c r="D7" s="8"/>
      <c r="E7" s="17"/>
      <c r="F7" s="17"/>
    </row>
    <row r="8" spans="1:6" x14ac:dyDescent="0.35">
      <c r="A8" s="8" t="s">
        <v>1140</v>
      </c>
      <c r="B8" s="4" t="s">
        <v>1126</v>
      </c>
      <c r="C8" s="8">
        <v>1</v>
      </c>
      <c r="D8" s="8" t="s">
        <v>1147</v>
      </c>
      <c r="E8" s="17"/>
      <c r="F8" s="17">
        <f>E8*C8</f>
        <v>0</v>
      </c>
    </row>
    <row r="9" spans="1:6" x14ac:dyDescent="0.35">
      <c r="A9" s="8"/>
      <c r="B9" s="4"/>
      <c r="C9" s="8"/>
      <c r="D9" s="8"/>
      <c r="E9" s="17"/>
      <c r="F9" s="17"/>
    </row>
    <row r="10" spans="1:6" x14ac:dyDescent="0.35">
      <c r="A10" s="8" t="s">
        <v>1141</v>
      </c>
      <c r="B10" s="4" t="s">
        <v>1127</v>
      </c>
      <c r="C10" s="8">
        <v>1</v>
      </c>
      <c r="D10" s="8" t="s">
        <v>1147</v>
      </c>
      <c r="E10" s="17"/>
      <c r="F10" s="17">
        <f>E10*C10</f>
        <v>0</v>
      </c>
    </row>
    <row r="11" spans="1:6" x14ac:dyDescent="0.35">
      <c r="A11" s="8"/>
      <c r="B11" s="4"/>
      <c r="C11" s="8"/>
      <c r="D11" s="8"/>
      <c r="E11" s="17"/>
      <c r="F11" s="17"/>
    </row>
    <row r="12" spans="1:6" x14ac:dyDescent="0.35">
      <c r="A12" s="8" t="s">
        <v>1142</v>
      </c>
      <c r="B12" s="4" t="s">
        <v>1128</v>
      </c>
      <c r="C12" s="8">
        <v>1</v>
      </c>
      <c r="D12" s="8" t="s">
        <v>1147</v>
      </c>
      <c r="E12" s="17"/>
      <c r="F12" s="17">
        <f>E12*C12</f>
        <v>0</v>
      </c>
    </row>
    <row r="13" spans="1:6" x14ac:dyDescent="0.35">
      <c r="A13" s="8"/>
      <c r="B13" s="4"/>
      <c r="C13" s="8"/>
      <c r="D13" s="8"/>
      <c r="E13" s="17"/>
      <c r="F13" s="17"/>
    </row>
    <row r="14" spans="1:6" x14ac:dyDescent="0.35">
      <c r="A14" s="8" t="s">
        <v>1139</v>
      </c>
      <c r="B14" s="4" t="s">
        <v>1129</v>
      </c>
      <c r="C14" s="8">
        <v>1</v>
      </c>
      <c r="D14" s="8" t="s">
        <v>1147</v>
      </c>
      <c r="E14" s="17"/>
      <c r="F14" s="17">
        <f>E14*C14</f>
        <v>0</v>
      </c>
    </row>
    <row r="15" spans="1:6" x14ac:dyDescent="0.35">
      <c r="A15" s="8"/>
      <c r="B15" s="4"/>
      <c r="C15" s="8"/>
      <c r="D15" s="8"/>
      <c r="E15" s="17"/>
      <c r="F15" s="17"/>
    </row>
    <row r="16" spans="1:6" x14ac:dyDescent="0.35">
      <c r="A16" s="8" t="s">
        <v>1143</v>
      </c>
      <c r="B16" s="4" t="s">
        <v>1130</v>
      </c>
      <c r="C16" s="8">
        <v>1</v>
      </c>
      <c r="D16" s="8" t="s">
        <v>1147</v>
      </c>
      <c r="E16" s="17"/>
      <c r="F16" s="17">
        <f>E16*C16</f>
        <v>0</v>
      </c>
    </row>
    <row r="17" spans="1:6" x14ac:dyDescent="0.35">
      <c r="A17" s="8"/>
      <c r="B17" s="4"/>
      <c r="C17" s="8"/>
      <c r="D17" s="8"/>
      <c r="E17" s="17"/>
      <c r="F17" s="17"/>
    </row>
    <row r="18" spans="1:6" x14ac:dyDescent="0.35">
      <c r="A18" s="8" t="s">
        <v>1144</v>
      </c>
      <c r="B18" s="4" t="s">
        <v>1131</v>
      </c>
      <c r="C18" s="8">
        <v>1</v>
      </c>
      <c r="D18" s="8" t="s">
        <v>1147</v>
      </c>
      <c r="E18" s="17"/>
      <c r="F18" s="17">
        <f>E18*C18</f>
        <v>0</v>
      </c>
    </row>
    <row r="19" spans="1:6" x14ac:dyDescent="0.35">
      <c r="A19" s="8"/>
      <c r="B19" s="4"/>
      <c r="C19" s="8"/>
      <c r="D19" s="8"/>
      <c r="E19" s="17"/>
      <c r="F19" s="17"/>
    </row>
    <row r="20" spans="1:6" x14ac:dyDescent="0.35">
      <c r="A20" s="8" t="s">
        <v>1145</v>
      </c>
      <c r="B20" s="4" t="s">
        <v>1132</v>
      </c>
      <c r="C20" s="8">
        <v>1</v>
      </c>
      <c r="D20" s="8" t="s">
        <v>1147</v>
      </c>
      <c r="E20" s="17"/>
      <c r="F20" s="17">
        <f>E20*C20</f>
        <v>0</v>
      </c>
    </row>
    <row r="21" spans="1:6" x14ac:dyDescent="0.35">
      <c r="A21" s="8"/>
      <c r="B21" s="4"/>
      <c r="C21" s="8"/>
      <c r="D21" s="8"/>
      <c r="E21" s="17"/>
      <c r="F21" s="17"/>
    </row>
    <row r="22" spans="1:6" x14ac:dyDescent="0.35">
      <c r="A22" s="8" t="s">
        <v>1136</v>
      </c>
      <c r="B22" s="4" t="s">
        <v>1133</v>
      </c>
      <c r="C22" s="8">
        <v>1</v>
      </c>
      <c r="D22" s="8" t="s">
        <v>1147</v>
      </c>
      <c r="E22" s="17"/>
      <c r="F22" s="17">
        <f>E22*C22</f>
        <v>0</v>
      </c>
    </row>
    <row r="23" spans="1:6" x14ac:dyDescent="0.35">
      <c r="A23" s="8"/>
      <c r="B23" s="4"/>
      <c r="C23" s="8"/>
      <c r="D23" s="8"/>
      <c r="E23" s="17"/>
      <c r="F23" s="17"/>
    </row>
    <row r="24" spans="1:6" x14ac:dyDescent="0.35">
      <c r="A24" s="12"/>
      <c r="B24" s="19" t="s">
        <v>1146</v>
      </c>
      <c r="C24" s="12"/>
      <c r="D24" s="12"/>
      <c r="E24" s="18"/>
      <c r="F24" s="18">
        <f>SUM(F4:F23)</f>
        <v>0</v>
      </c>
    </row>
    <row r="25" spans="1:6" x14ac:dyDescent="0.35">
      <c r="A25" s="8"/>
      <c r="B25" s="4"/>
      <c r="C25" s="8"/>
      <c r="D25" s="8"/>
      <c r="E25" s="17"/>
      <c r="F25" s="17"/>
    </row>
    <row r="26" spans="1:6" x14ac:dyDescent="0.35">
      <c r="A26" s="8"/>
      <c r="B26" s="12" t="s">
        <v>1148</v>
      </c>
      <c r="C26" s="8"/>
      <c r="D26" s="8"/>
      <c r="E26" s="17"/>
      <c r="F26" s="17"/>
    </row>
    <row r="27" spans="1:6" x14ac:dyDescent="0.35">
      <c r="A27" s="8"/>
      <c r="B27" s="10"/>
      <c r="C27" s="8"/>
      <c r="D27" s="8"/>
      <c r="E27" s="17"/>
      <c r="F27" s="17"/>
    </row>
    <row r="28" spans="1:6" x14ac:dyDescent="0.35">
      <c r="A28" s="8"/>
      <c r="B28" s="10" t="s">
        <v>1149</v>
      </c>
      <c r="C28" s="8"/>
      <c r="D28" s="8"/>
      <c r="E28" s="17"/>
      <c r="F28" s="17"/>
    </row>
    <row r="29" spans="1:6" x14ac:dyDescent="0.35">
      <c r="A29" s="8"/>
      <c r="B29" s="10"/>
      <c r="C29" s="8"/>
      <c r="D29" s="8"/>
      <c r="E29" s="17"/>
      <c r="F29" s="17"/>
    </row>
    <row r="30" spans="1:6" x14ac:dyDescent="0.35">
      <c r="A30" s="8"/>
      <c r="B30" s="10" t="s">
        <v>1150</v>
      </c>
      <c r="C30" s="8"/>
      <c r="D30" s="8"/>
      <c r="E30" s="17"/>
      <c r="F30" s="17">
        <f>F24</f>
        <v>0</v>
      </c>
    </row>
    <row r="31" spans="1:6" x14ac:dyDescent="0.35">
      <c r="A31" s="8"/>
      <c r="B31" s="10"/>
      <c r="C31" s="8"/>
      <c r="D31" s="8"/>
      <c r="E31" s="17"/>
      <c r="F31" s="17"/>
    </row>
    <row r="32" spans="1:6" s="11" customFormat="1" x14ac:dyDescent="0.35">
      <c r="A32" s="12"/>
      <c r="B32" s="19" t="s">
        <v>1151</v>
      </c>
      <c r="C32" s="12"/>
      <c r="D32" s="12"/>
      <c r="E32" s="18"/>
      <c r="F32" s="18">
        <f>SUM(F26:F31)</f>
        <v>0</v>
      </c>
    </row>
    <row r="33" spans="1:6" s="11" customFormat="1" x14ac:dyDescent="0.35">
      <c r="A33" s="12"/>
      <c r="B33" s="19"/>
      <c r="C33" s="12"/>
      <c r="D33" s="12"/>
      <c r="E33" s="18"/>
      <c r="F33" s="18"/>
    </row>
    <row r="34" spans="1:6" x14ac:dyDescent="0.35">
      <c r="A34" s="12">
        <v>2</v>
      </c>
      <c r="B34" s="10" t="s">
        <v>1152</v>
      </c>
      <c r="C34" s="12"/>
      <c r="D34" s="12"/>
      <c r="E34" s="18"/>
      <c r="F34" s="18"/>
    </row>
    <row r="35" spans="1:6" x14ac:dyDescent="0.35">
      <c r="A35" s="8"/>
      <c r="B35" s="4"/>
      <c r="C35" s="8"/>
      <c r="D35" s="8"/>
      <c r="E35" s="17"/>
      <c r="F35" s="17"/>
    </row>
    <row r="36" spans="1:6" x14ac:dyDescent="0.35">
      <c r="A36" s="8" t="s">
        <v>1135</v>
      </c>
      <c r="B36" s="4" t="s">
        <v>1153</v>
      </c>
      <c r="C36" s="8">
        <v>1</v>
      </c>
      <c r="D36" s="8" t="s">
        <v>1147</v>
      </c>
      <c r="E36" s="17"/>
      <c r="F36" s="17">
        <f>E36*C36</f>
        <v>0</v>
      </c>
    </row>
    <row r="37" spans="1:6" x14ac:dyDescent="0.35">
      <c r="A37" s="8"/>
      <c r="B37" s="4"/>
      <c r="C37" s="8"/>
      <c r="D37" s="8"/>
      <c r="E37" s="17"/>
      <c r="F37" s="17"/>
    </row>
    <row r="38" spans="1:6" x14ac:dyDescent="0.35">
      <c r="A38" s="8" t="s">
        <v>1140</v>
      </c>
      <c r="B38" s="4" t="s">
        <v>1154</v>
      </c>
      <c r="C38" s="8">
        <v>1</v>
      </c>
      <c r="D38" s="8" t="s">
        <v>1147</v>
      </c>
      <c r="E38" s="17"/>
      <c r="F38" s="17">
        <f>E38*C38</f>
        <v>0</v>
      </c>
    </row>
    <row r="39" spans="1:6" x14ac:dyDescent="0.35">
      <c r="A39" s="8"/>
      <c r="B39" s="4"/>
      <c r="C39" s="8"/>
      <c r="D39" s="8"/>
      <c r="E39" s="17"/>
      <c r="F39" s="17"/>
    </row>
    <row r="40" spans="1:6" x14ac:dyDescent="0.35">
      <c r="A40" s="8" t="s">
        <v>1141</v>
      </c>
      <c r="B40" s="4" t="s">
        <v>1155</v>
      </c>
      <c r="C40" s="8">
        <v>1</v>
      </c>
      <c r="D40" s="8" t="s">
        <v>1147</v>
      </c>
      <c r="E40" s="17"/>
      <c r="F40" s="17">
        <f>E40*C40</f>
        <v>0</v>
      </c>
    </row>
    <row r="41" spans="1:6" x14ac:dyDescent="0.35">
      <c r="A41" s="8"/>
      <c r="B41" s="4"/>
      <c r="C41" s="8"/>
      <c r="D41" s="8"/>
      <c r="E41" s="17"/>
      <c r="F41" s="17"/>
    </row>
    <row r="42" spans="1:6" x14ac:dyDescent="0.35">
      <c r="A42" s="8" t="s">
        <v>1142</v>
      </c>
      <c r="B42" s="4" t="s">
        <v>1156</v>
      </c>
      <c r="C42" s="8">
        <v>1</v>
      </c>
      <c r="D42" s="8" t="s">
        <v>1147</v>
      </c>
      <c r="E42" s="17"/>
      <c r="F42" s="17">
        <f>E42*C42</f>
        <v>0</v>
      </c>
    </row>
    <row r="43" spans="1:6" x14ac:dyDescent="0.35">
      <c r="A43" s="8"/>
      <c r="B43" s="4"/>
      <c r="C43" s="8"/>
      <c r="D43" s="8"/>
      <c r="E43" s="17"/>
      <c r="F43" s="17"/>
    </row>
    <row r="44" spans="1:6" x14ac:dyDescent="0.35">
      <c r="A44" s="8" t="s">
        <v>1139</v>
      </c>
      <c r="B44" s="4" t="s">
        <v>1157</v>
      </c>
      <c r="C44" s="8">
        <v>1</v>
      </c>
      <c r="D44" s="8" t="s">
        <v>1147</v>
      </c>
      <c r="E44" s="17"/>
      <c r="F44" s="17">
        <f>E44*C44</f>
        <v>0</v>
      </c>
    </row>
    <row r="45" spans="1:6" x14ac:dyDescent="0.35">
      <c r="A45" s="8"/>
      <c r="B45" s="4"/>
      <c r="C45" s="8"/>
      <c r="D45" s="8"/>
      <c r="E45" s="17"/>
      <c r="F45" s="17"/>
    </row>
    <row r="46" spans="1:6" x14ac:dyDescent="0.35">
      <c r="A46" s="8" t="s">
        <v>1143</v>
      </c>
      <c r="B46" s="4" t="s">
        <v>1158</v>
      </c>
      <c r="C46" s="8">
        <v>1</v>
      </c>
      <c r="D46" s="8" t="s">
        <v>1147</v>
      </c>
      <c r="E46" s="17"/>
      <c r="F46" s="17">
        <f>E46*C46</f>
        <v>0</v>
      </c>
    </row>
    <row r="47" spans="1:6" x14ac:dyDescent="0.35">
      <c r="A47" s="8"/>
      <c r="B47" s="4"/>
      <c r="C47" s="8"/>
      <c r="D47" s="8"/>
      <c r="E47" s="17"/>
      <c r="F47" s="17"/>
    </row>
    <row r="48" spans="1:6" x14ac:dyDescent="0.35">
      <c r="A48" s="8" t="s">
        <v>1144</v>
      </c>
      <c r="B48" s="4" t="s">
        <v>1159</v>
      </c>
      <c r="C48" s="8">
        <v>1</v>
      </c>
      <c r="D48" s="8" t="s">
        <v>1147</v>
      </c>
      <c r="E48" s="17"/>
      <c r="F48" s="17">
        <f>E48*C48</f>
        <v>0</v>
      </c>
    </row>
    <row r="49" spans="1:6" x14ac:dyDescent="0.35">
      <c r="A49" s="8"/>
      <c r="B49" s="4"/>
      <c r="C49" s="8"/>
      <c r="D49" s="8"/>
      <c r="E49" s="17"/>
      <c r="F49" s="17"/>
    </row>
    <row r="50" spans="1:6" x14ac:dyDescent="0.35">
      <c r="A50" s="8" t="s">
        <v>1145</v>
      </c>
      <c r="B50" s="4" t="s">
        <v>1160</v>
      </c>
      <c r="C50" s="8">
        <v>1</v>
      </c>
      <c r="D50" s="8" t="s">
        <v>1147</v>
      </c>
      <c r="E50" s="17"/>
      <c r="F50" s="17">
        <f>E50*C50</f>
        <v>0</v>
      </c>
    </row>
    <row r="51" spans="1:6" x14ac:dyDescent="0.35">
      <c r="A51" s="8"/>
      <c r="B51" s="4"/>
      <c r="C51" s="8"/>
      <c r="D51" s="8"/>
      <c r="E51" s="17"/>
      <c r="F51" s="17"/>
    </row>
    <row r="52" spans="1:6" x14ac:dyDescent="0.35">
      <c r="A52" s="8" t="s">
        <v>1136</v>
      </c>
      <c r="B52" s="4" t="s">
        <v>1161</v>
      </c>
      <c r="C52" s="8">
        <v>1</v>
      </c>
      <c r="D52" s="8" t="s">
        <v>1147</v>
      </c>
      <c r="E52" s="17"/>
      <c r="F52" s="17">
        <f>E52*C52</f>
        <v>0</v>
      </c>
    </row>
    <row r="53" spans="1:6" x14ac:dyDescent="0.35">
      <c r="A53" s="8"/>
      <c r="B53" s="4"/>
      <c r="C53" s="8"/>
      <c r="D53" s="8"/>
      <c r="E53" s="17"/>
      <c r="F53" s="17"/>
    </row>
    <row r="54" spans="1:6" x14ac:dyDescent="0.35">
      <c r="A54" s="12"/>
      <c r="B54" s="19" t="s">
        <v>1162</v>
      </c>
      <c r="C54" s="12"/>
      <c r="D54" s="12"/>
      <c r="E54" s="18"/>
      <c r="F54" s="18">
        <f>SUM(F34:F53)</f>
        <v>0</v>
      </c>
    </row>
    <row r="55" spans="1:6" s="11" customFormat="1" x14ac:dyDescent="0.35">
      <c r="A55" s="12"/>
      <c r="B55" s="19"/>
      <c r="C55" s="12"/>
      <c r="D55" s="12"/>
      <c r="E55" s="18"/>
      <c r="F55" s="18"/>
    </row>
    <row r="56" spans="1:6" x14ac:dyDescent="0.35">
      <c r="A56" s="12">
        <v>2</v>
      </c>
      <c r="B56" s="10" t="s">
        <v>1163</v>
      </c>
      <c r="C56" s="12"/>
      <c r="D56" s="12"/>
      <c r="E56" s="18"/>
      <c r="F56" s="18"/>
    </row>
    <row r="57" spans="1:6" x14ac:dyDescent="0.35">
      <c r="A57" s="8"/>
      <c r="B57" s="4"/>
      <c r="C57" s="8"/>
      <c r="D57" s="8"/>
      <c r="E57" s="17"/>
      <c r="F57" s="17"/>
    </row>
    <row r="58" spans="1:6" x14ac:dyDescent="0.35">
      <c r="A58" s="8" t="s">
        <v>1170</v>
      </c>
      <c r="B58" s="4" t="s">
        <v>1164</v>
      </c>
      <c r="C58" s="8">
        <v>1</v>
      </c>
      <c r="D58" s="8" t="s">
        <v>1147</v>
      </c>
      <c r="E58" s="17"/>
      <c r="F58" s="17">
        <f>E58*C58</f>
        <v>0</v>
      </c>
    </row>
    <row r="59" spans="1:6" x14ac:dyDescent="0.35">
      <c r="A59" s="8"/>
      <c r="B59" s="4"/>
      <c r="C59" s="8"/>
      <c r="D59" s="8"/>
      <c r="E59" s="17"/>
      <c r="F59" s="17"/>
    </row>
    <row r="60" spans="1:6" x14ac:dyDescent="0.35">
      <c r="A60" s="8" t="s">
        <v>1137</v>
      </c>
      <c r="B60" s="4" t="s">
        <v>1165</v>
      </c>
      <c r="C60" s="8">
        <v>1</v>
      </c>
      <c r="D60" s="8" t="s">
        <v>1147</v>
      </c>
      <c r="E60" s="17"/>
      <c r="F60" s="17">
        <f>E60*C60</f>
        <v>0</v>
      </c>
    </row>
    <row r="61" spans="1:6" x14ac:dyDescent="0.35">
      <c r="A61" s="8"/>
      <c r="B61" s="4"/>
      <c r="C61" s="8"/>
      <c r="D61" s="8"/>
      <c r="E61" s="17"/>
      <c r="F61" s="17"/>
    </row>
    <row r="62" spans="1:6" x14ac:dyDescent="0.35">
      <c r="A62" s="8" t="s">
        <v>1171</v>
      </c>
      <c r="B62" s="4" t="s">
        <v>1166</v>
      </c>
      <c r="C62" s="8">
        <v>1</v>
      </c>
      <c r="D62" s="8" t="s">
        <v>1147</v>
      </c>
      <c r="E62" s="17"/>
      <c r="F62" s="17">
        <f>E62*C62</f>
        <v>0</v>
      </c>
    </row>
    <row r="63" spans="1:6" x14ac:dyDescent="0.35">
      <c r="A63" s="8"/>
      <c r="B63" s="4"/>
      <c r="C63" s="8"/>
      <c r="D63" s="8"/>
      <c r="E63" s="17"/>
      <c r="F63" s="17"/>
    </row>
    <row r="64" spans="1:6" x14ac:dyDescent="0.35">
      <c r="A64" s="8" t="s">
        <v>8</v>
      </c>
      <c r="B64" s="4" t="s">
        <v>1167</v>
      </c>
      <c r="C64" s="8">
        <v>1</v>
      </c>
      <c r="D64" s="8" t="s">
        <v>1147</v>
      </c>
      <c r="E64" s="17"/>
      <c r="F64" s="17">
        <f>E64*C64</f>
        <v>0</v>
      </c>
    </row>
    <row r="65" spans="1:6" x14ac:dyDescent="0.35">
      <c r="A65" s="8"/>
      <c r="B65" s="4"/>
      <c r="C65" s="8"/>
      <c r="D65" s="8"/>
      <c r="E65" s="17"/>
      <c r="F65" s="17"/>
    </row>
    <row r="66" spans="1:6" x14ac:dyDescent="0.35">
      <c r="A66" s="8" t="s">
        <v>1172</v>
      </c>
      <c r="B66" s="4" t="s">
        <v>1168</v>
      </c>
      <c r="C66" s="8">
        <v>1</v>
      </c>
      <c r="D66" s="8" t="s">
        <v>1147</v>
      </c>
      <c r="E66" s="17"/>
      <c r="F66" s="17">
        <f>E66*C66</f>
        <v>0</v>
      </c>
    </row>
    <row r="67" spans="1:6" x14ac:dyDescent="0.35">
      <c r="A67" s="8"/>
      <c r="B67" s="4"/>
      <c r="C67" s="8"/>
      <c r="D67" s="8"/>
      <c r="E67" s="17"/>
      <c r="F67" s="17"/>
    </row>
    <row r="68" spans="1:6" x14ac:dyDescent="0.35">
      <c r="A68" s="8" t="s">
        <v>1173</v>
      </c>
      <c r="B68" s="4" t="s">
        <v>1169</v>
      </c>
      <c r="C68" s="8">
        <v>1</v>
      </c>
      <c r="D68" s="8" t="s">
        <v>1147</v>
      </c>
      <c r="E68" s="17"/>
      <c r="F68" s="17">
        <f>E68*C68</f>
        <v>0</v>
      </c>
    </row>
    <row r="69" spans="1:6" x14ac:dyDescent="0.35">
      <c r="A69" s="8"/>
      <c r="B69" s="4"/>
      <c r="C69" s="8"/>
      <c r="D69" s="8"/>
      <c r="E69" s="17"/>
      <c r="F69" s="17"/>
    </row>
    <row r="70" spans="1:6" x14ac:dyDescent="0.35">
      <c r="A70" s="8" t="s">
        <v>1174</v>
      </c>
      <c r="B70" s="4" t="s">
        <v>1177</v>
      </c>
      <c r="C70" s="8">
        <v>1</v>
      </c>
      <c r="D70" s="8" t="s">
        <v>1147</v>
      </c>
      <c r="E70" s="17"/>
      <c r="F70" s="17">
        <f>E70*C70</f>
        <v>0</v>
      </c>
    </row>
    <row r="71" spans="1:6" x14ac:dyDescent="0.35">
      <c r="A71" s="8"/>
      <c r="B71" s="4"/>
      <c r="C71" s="8"/>
      <c r="D71" s="8"/>
      <c r="E71" s="17"/>
      <c r="F71" s="17"/>
    </row>
    <row r="72" spans="1:6" x14ac:dyDescent="0.35">
      <c r="A72" s="8" t="s">
        <v>1175</v>
      </c>
      <c r="B72" s="4" t="s">
        <v>1178</v>
      </c>
      <c r="C72" s="8">
        <v>1</v>
      </c>
      <c r="D72" s="8" t="s">
        <v>1147</v>
      </c>
      <c r="E72" s="17"/>
      <c r="F72" s="17">
        <f>E72*C72</f>
        <v>0</v>
      </c>
    </row>
    <row r="73" spans="1:6" x14ac:dyDescent="0.35">
      <c r="A73" s="8"/>
      <c r="B73" s="4"/>
      <c r="C73" s="8"/>
      <c r="D73" s="8"/>
      <c r="E73" s="17"/>
      <c r="F73" s="17"/>
    </row>
    <row r="74" spans="1:6" x14ac:dyDescent="0.35">
      <c r="A74" s="8" t="s">
        <v>1176</v>
      </c>
      <c r="B74" s="4" t="s">
        <v>1179</v>
      </c>
      <c r="C74" s="8">
        <v>1</v>
      </c>
      <c r="D74" s="8" t="s">
        <v>1147</v>
      </c>
      <c r="E74" s="17"/>
      <c r="F74" s="17">
        <f>E74*C74</f>
        <v>0</v>
      </c>
    </row>
    <row r="75" spans="1:6" x14ac:dyDescent="0.35">
      <c r="A75" s="8"/>
      <c r="B75" s="4"/>
      <c r="C75" s="8"/>
      <c r="D75" s="8"/>
      <c r="E75" s="17"/>
      <c r="F75" s="17"/>
    </row>
    <row r="76" spans="1:6" x14ac:dyDescent="0.35">
      <c r="A76" s="12"/>
      <c r="B76" s="19" t="s">
        <v>1180</v>
      </c>
      <c r="C76" s="12"/>
      <c r="D76" s="12"/>
      <c r="E76" s="18"/>
      <c r="F76" s="18">
        <f>SUM(F56:F75)</f>
        <v>0</v>
      </c>
    </row>
    <row r="77" spans="1:6" x14ac:dyDescent="0.35">
      <c r="A77" s="8"/>
      <c r="B77" s="4"/>
      <c r="C77" s="8"/>
      <c r="D77" s="8"/>
      <c r="E77" s="17"/>
      <c r="F77" s="17"/>
    </row>
    <row r="78" spans="1:6" x14ac:dyDescent="0.35">
      <c r="A78" s="8"/>
      <c r="B78" s="12" t="s">
        <v>1148</v>
      </c>
      <c r="C78" s="8"/>
      <c r="D78" s="8"/>
      <c r="E78" s="17"/>
      <c r="F78" s="17"/>
    </row>
    <row r="79" spans="1:6" x14ac:dyDescent="0.35">
      <c r="A79" s="8"/>
      <c r="B79" s="10"/>
      <c r="C79" s="8"/>
      <c r="D79" s="8"/>
      <c r="E79" s="17"/>
      <c r="F79" s="17"/>
    </row>
    <row r="80" spans="1:6" x14ac:dyDescent="0.35">
      <c r="A80" s="8"/>
      <c r="B80" s="10" t="s">
        <v>1181</v>
      </c>
      <c r="C80" s="8"/>
      <c r="D80" s="8"/>
      <c r="E80" s="17"/>
      <c r="F80" s="17"/>
    </row>
    <row r="81" spans="1:6" x14ac:dyDescent="0.35">
      <c r="A81" s="8"/>
      <c r="B81" s="10"/>
      <c r="C81" s="8"/>
      <c r="D81" s="8"/>
      <c r="E81" s="17"/>
      <c r="F81" s="17"/>
    </row>
    <row r="82" spans="1:6" x14ac:dyDescent="0.35">
      <c r="A82" s="8"/>
      <c r="B82" s="10" t="s">
        <v>1182</v>
      </c>
      <c r="C82" s="8"/>
      <c r="D82" s="8"/>
      <c r="E82" s="17"/>
      <c r="F82" s="17">
        <f>F54</f>
        <v>0</v>
      </c>
    </row>
    <row r="83" spans="1:6" x14ac:dyDescent="0.35">
      <c r="A83" s="8"/>
      <c r="B83" s="10"/>
      <c r="C83" s="8"/>
      <c r="D83" s="8"/>
      <c r="E83" s="17"/>
      <c r="F83" s="17"/>
    </row>
    <row r="84" spans="1:6" x14ac:dyDescent="0.35">
      <c r="A84" s="8"/>
      <c r="B84" s="10" t="s">
        <v>1183</v>
      </c>
      <c r="C84" s="8"/>
      <c r="D84" s="8"/>
      <c r="E84" s="17"/>
      <c r="F84" s="17">
        <f>F76</f>
        <v>0</v>
      </c>
    </row>
    <row r="85" spans="1:6" x14ac:dyDescent="0.35">
      <c r="A85" s="8"/>
      <c r="B85" s="10"/>
      <c r="C85" s="8"/>
      <c r="D85" s="8"/>
      <c r="E85" s="17"/>
      <c r="F85" s="17"/>
    </row>
    <row r="86" spans="1:6" s="11" customFormat="1" x14ac:dyDescent="0.35">
      <c r="A86" s="12"/>
      <c r="B86" s="19" t="s">
        <v>1184</v>
      </c>
      <c r="C86" s="12"/>
      <c r="D86" s="12"/>
      <c r="E86" s="18"/>
      <c r="F86" s="18">
        <f>SUM(F78:F85)</f>
        <v>0</v>
      </c>
    </row>
    <row r="87" spans="1:6" s="11" customFormat="1" x14ac:dyDescent="0.35">
      <c r="A87" s="12"/>
      <c r="B87" s="19"/>
      <c r="C87" s="12"/>
      <c r="D87" s="12"/>
      <c r="E87" s="18"/>
      <c r="F87" s="18"/>
    </row>
    <row r="88" spans="1:6" x14ac:dyDescent="0.35">
      <c r="A88" s="12">
        <v>3</v>
      </c>
      <c r="B88" s="10" t="s">
        <v>1185</v>
      </c>
      <c r="C88" s="12"/>
      <c r="D88" s="12"/>
      <c r="E88" s="18"/>
      <c r="F88" s="18"/>
    </row>
    <row r="89" spans="1:6" x14ac:dyDescent="0.35">
      <c r="A89" s="8"/>
      <c r="B89" s="4"/>
      <c r="C89" s="8"/>
      <c r="D89" s="8"/>
      <c r="E89" s="17"/>
      <c r="F89" s="17"/>
    </row>
    <row r="90" spans="1:6" x14ac:dyDescent="0.35">
      <c r="A90" s="8" t="s">
        <v>1135</v>
      </c>
      <c r="B90" s="4" t="s">
        <v>1186</v>
      </c>
      <c r="C90" s="8">
        <v>1025</v>
      </c>
      <c r="D90" s="8" t="s">
        <v>12</v>
      </c>
      <c r="E90" s="17"/>
      <c r="F90" s="17">
        <f>E90*C90</f>
        <v>0</v>
      </c>
    </row>
    <row r="91" spans="1:6" x14ac:dyDescent="0.35">
      <c r="A91" s="8"/>
      <c r="B91" s="4"/>
      <c r="C91" s="8"/>
      <c r="D91" s="8"/>
      <c r="E91" s="17"/>
      <c r="F91" s="17"/>
    </row>
    <row r="92" spans="1:6" x14ac:dyDescent="0.35">
      <c r="A92" s="8" t="s">
        <v>1140</v>
      </c>
      <c r="B92" s="4" t="s">
        <v>1187</v>
      </c>
      <c r="C92" s="8">
        <v>100</v>
      </c>
      <c r="D92" s="8" t="s">
        <v>12</v>
      </c>
      <c r="E92" s="17"/>
      <c r="F92" s="17">
        <f>E92*C92</f>
        <v>0</v>
      </c>
    </row>
    <row r="93" spans="1:6" x14ac:dyDescent="0.35">
      <c r="A93" s="8"/>
      <c r="B93" s="4"/>
      <c r="C93" s="8"/>
      <c r="D93" s="8"/>
      <c r="E93" s="17"/>
      <c r="F93" s="17"/>
    </row>
    <row r="94" spans="1:6" x14ac:dyDescent="0.35">
      <c r="A94" s="8" t="s">
        <v>1141</v>
      </c>
      <c r="B94" s="4" t="s">
        <v>1188</v>
      </c>
      <c r="C94" s="8">
        <v>400</v>
      </c>
      <c r="D94" s="8" t="s">
        <v>12</v>
      </c>
      <c r="E94" s="17"/>
      <c r="F94" s="17">
        <f>E94*C94</f>
        <v>0</v>
      </c>
    </row>
    <row r="95" spans="1:6" x14ac:dyDescent="0.35">
      <c r="A95" s="8"/>
      <c r="B95" s="4"/>
      <c r="C95" s="8"/>
      <c r="D95" s="8"/>
      <c r="E95" s="17"/>
      <c r="F95" s="17"/>
    </row>
    <row r="96" spans="1:6" x14ac:dyDescent="0.35">
      <c r="A96" s="8" t="s">
        <v>1142</v>
      </c>
      <c r="B96" s="4" t="s">
        <v>1189</v>
      </c>
      <c r="C96" s="8">
        <v>1</v>
      </c>
      <c r="D96" s="8" t="s">
        <v>1147</v>
      </c>
      <c r="E96" s="17"/>
      <c r="F96" s="17">
        <f>E96*C96</f>
        <v>0</v>
      </c>
    </row>
    <row r="97" spans="1:6" x14ac:dyDescent="0.35">
      <c r="A97" s="8"/>
      <c r="B97" s="4"/>
      <c r="C97" s="8"/>
      <c r="D97" s="8"/>
      <c r="E97" s="17"/>
      <c r="F97" s="17"/>
    </row>
    <row r="98" spans="1:6" x14ac:dyDescent="0.35">
      <c r="A98" s="8" t="s">
        <v>1139</v>
      </c>
      <c r="B98" s="4" t="s">
        <v>1190</v>
      </c>
      <c r="C98" s="8">
        <v>6850</v>
      </c>
      <c r="D98" s="8" t="s">
        <v>10</v>
      </c>
      <c r="E98" s="17"/>
      <c r="F98" s="17">
        <f>E98*C98</f>
        <v>0</v>
      </c>
    </row>
    <row r="99" spans="1:6" x14ac:dyDescent="0.35">
      <c r="A99" s="8"/>
      <c r="B99" s="4"/>
      <c r="C99" s="8"/>
      <c r="D99" s="8"/>
      <c r="E99" s="17"/>
      <c r="F99" s="17"/>
    </row>
    <row r="100" spans="1:6" x14ac:dyDescent="0.35">
      <c r="A100" s="8" t="s">
        <v>1143</v>
      </c>
      <c r="B100" s="4" t="s">
        <v>1191</v>
      </c>
      <c r="C100" s="8">
        <v>1000</v>
      </c>
      <c r="D100" s="8" t="s">
        <v>10</v>
      </c>
      <c r="E100" s="17"/>
      <c r="F100" s="17">
        <f>E100*C100</f>
        <v>0</v>
      </c>
    </row>
    <row r="101" spans="1:6" x14ac:dyDescent="0.35">
      <c r="A101" s="8"/>
      <c r="B101" s="4"/>
      <c r="C101" s="8"/>
      <c r="D101" s="8"/>
      <c r="E101" s="17"/>
      <c r="F101" s="17"/>
    </row>
    <row r="102" spans="1:6" x14ac:dyDescent="0.35">
      <c r="A102" s="8" t="s">
        <v>1144</v>
      </c>
      <c r="B102" s="4" t="s">
        <v>1192</v>
      </c>
      <c r="C102" s="8">
        <v>2000</v>
      </c>
      <c r="D102" s="8" t="s">
        <v>10</v>
      </c>
      <c r="E102" s="17"/>
      <c r="F102" s="17">
        <f>E102*C102</f>
        <v>0</v>
      </c>
    </row>
    <row r="103" spans="1:6" x14ac:dyDescent="0.35">
      <c r="A103" s="8"/>
      <c r="B103" s="4"/>
      <c r="C103" s="8"/>
      <c r="D103" s="8"/>
      <c r="E103" s="17"/>
      <c r="F103" s="17"/>
    </row>
    <row r="104" spans="1:6" x14ac:dyDescent="0.35">
      <c r="A104" s="8" t="s">
        <v>1145</v>
      </c>
      <c r="B104" s="4" t="s">
        <v>1194</v>
      </c>
      <c r="C104" s="8">
        <v>6850</v>
      </c>
      <c r="D104" s="8" t="s">
        <v>10</v>
      </c>
      <c r="E104" s="17"/>
      <c r="F104" s="17">
        <f>E104*C104</f>
        <v>0</v>
      </c>
    </row>
    <row r="105" spans="1:6" x14ac:dyDescent="0.35">
      <c r="A105" s="8"/>
      <c r="B105" s="4"/>
      <c r="C105" s="8"/>
      <c r="D105" s="8"/>
      <c r="E105" s="17"/>
      <c r="F105" s="17"/>
    </row>
    <row r="106" spans="1:6" x14ac:dyDescent="0.35">
      <c r="A106" s="8" t="s">
        <v>1136</v>
      </c>
      <c r="B106" s="4" t="s">
        <v>1193</v>
      </c>
      <c r="C106" s="8">
        <v>1400</v>
      </c>
      <c r="D106" s="8" t="s">
        <v>10</v>
      </c>
      <c r="E106" s="17"/>
      <c r="F106" s="17">
        <f>E106*C106</f>
        <v>0</v>
      </c>
    </row>
    <row r="107" spans="1:6" x14ac:dyDescent="0.35">
      <c r="A107" s="8"/>
      <c r="B107" s="4"/>
      <c r="C107" s="8"/>
      <c r="D107" s="8"/>
      <c r="E107" s="17"/>
      <c r="F107" s="17"/>
    </row>
    <row r="108" spans="1:6" x14ac:dyDescent="0.35">
      <c r="A108" s="12"/>
      <c r="B108" s="19" t="s">
        <v>1201</v>
      </c>
      <c r="C108" s="12"/>
      <c r="D108" s="12"/>
      <c r="E108" s="18"/>
      <c r="F108" s="18">
        <f>SUM(F88:F107)</f>
        <v>0</v>
      </c>
    </row>
    <row r="109" spans="1:6" s="11" customFormat="1" x14ac:dyDescent="0.35">
      <c r="A109" s="12"/>
      <c r="B109" s="19"/>
      <c r="C109" s="12"/>
      <c r="D109" s="12"/>
      <c r="E109" s="18"/>
      <c r="F109" s="18"/>
    </row>
    <row r="110" spans="1:6" x14ac:dyDescent="0.35">
      <c r="A110" s="12">
        <v>3</v>
      </c>
      <c r="B110" s="10" t="s">
        <v>1196</v>
      </c>
      <c r="C110" s="12"/>
      <c r="D110" s="12"/>
      <c r="E110" s="18"/>
      <c r="F110" s="18"/>
    </row>
    <row r="111" spans="1:6" x14ac:dyDescent="0.35">
      <c r="A111" s="8"/>
      <c r="B111" s="4"/>
      <c r="C111" s="8"/>
      <c r="D111" s="8"/>
      <c r="E111" s="17"/>
      <c r="F111" s="17"/>
    </row>
    <row r="112" spans="1:6" x14ac:dyDescent="0.35">
      <c r="A112" s="8" t="s">
        <v>1170</v>
      </c>
      <c r="B112" s="4" t="s">
        <v>1195</v>
      </c>
      <c r="C112" s="8">
        <v>2000</v>
      </c>
      <c r="D112" s="8" t="s">
        <v>10</v>
      </c>
      <c r="E112" s="17"/>
      <c r="F112" s="17">
        <f>E112*C112</f>
        <v>0</v>
      </c>
    </row>
    <row r="113" spans="1:6" x14ac:dyDescent="0.35">
      <c r="A113" s="8"/>
      <c r="B113" s="4"/>
      <c r="C113" s="8"/>
      <c r="D113" s="8"/>
      <c r="E113" s="17"/>
      <c r="F113" s="17"/>
    </row>
    <row r="114" spans="1:6" x14ac:dyDescent="0.35">
      <c r="A114" s="8" t="s">
        <v>1137</v>
      </c>
      <c r="B114" s="4" t="s">
        <v>1208</v>
      </c>
      <c r="C114" s="8">
        <v>680</v>
      </c>
      <c r="D114" s="8" t="s">
        <v>10</v>
      </c>
      <c r="E114" s="17"/>
      <c r="F114" s="17">
        <f>E114*C114</f>
        <v>0</v>
      </c>
    </row>
    <row r="115" spans="1:6" x14ac:dyDescent="0.35">
      <c r="A115" s="8"/>
      <c r="B115" s="4"/>
      <c r="C115" s="8"/>
      <c r="D115" s="8"/>
      <c r="E115" s="17"/>
      <c r="F115" s="17"/>
    </row>
    <row r="116" spans="1:6" x14ac:dyDescent="0.35">
      <c r="A116" s="8" t="s">
        <v>1171</v>
      </c>
      <c r="B116" s="4" t="s">
        <v>1207</v>
      </c>
      <c r="C116" s="8">
        <v>680</v>
      </c>
      <c r="D116" s="8" t="s">
        <v>10</v>
      </c>
      <c r="E116" s="17"/>
      <c r="F116" s="17">
        <f>E116*C116</f>
        <v>0</v>
      </c>
    </row>
    <row r="117" spans="1:6" x14ac:dyDescent="0.35">
      <c r="A117" s="8"/>
      <c r="B117" s="4"/>
      <c r="C117" s="8"/>
      <c r="D117" s="8"/>
      <c r="E117" s="17"/>
      <c r="F117" s="17"/>
    </row>
    <row r="118" spans="1:6" x14ac:dyDescent="0.35">
      <c r="A118" s="8" t="s">
        <v>8</v>
      </c>
      <c r="B118" s="4" t="s">
        <v>1209</v>
      </c>
      <c r="C118" s="8">
        <v>680</v>
      </c>
      <c r="D118" s="8" t="s">
        <v>10</v>
      </c>
      <c r="E118" s="17"/>
      <c r="F118" s="17">
        <f>E118*C118</f>
        <v>0</v>
      </c>
    </row>
    <row r="119" spans="1:6" x14ac:dyDescent="0.35">
      <c r="A119" s="8"/>
      <c r="B119" s="4"/>
      <c r="C119" s="8"/>
      <c r="D119" s="8"/>
      <c r="E119" s="17"/>
      <c r="F119" s="17"/>
    </row>
    <row r="120" spans="1:6" x14ac:dyDescent="0.35">
      <c r="A120" s="8" t="s">
        <v>1172</v>
      </c>
      <c r="B120" s="4" t="s">
        <v>1210</v>
      </c>
      <c r="C120" s="8">
        <v>1380</v>
      </c>
      <c r="D120" s="8" t="s">
        <v>10</v>
      </c>
      <c r="E120" s="17"/>
      <c r="F120" s="17">
        <f>E120*C120</f>
        <v>0</v>
      </c>
    </row>
    <row r="121" spans="1:6" x14ac:dyDescent="0.35">
      <c r="A121" s="8"/>
      <c r="B121" s="4"/>
      <c r="C121" s="8"/>
      <c r="D121" s="8"/>
      <c r="E121" s="17"/>
      <c r="F121" s="17"/>
    </row>
    <row r="122" spans="1:6" x14ac:dyDescent="0.35">
      <c r="A122" s="8" t="s">
        <v>1173</v>
      </c>
      <c r="B122" s="4" t="s">
        <v>1211</v>
      </c>
      <c r="C122" s="8">
        <v>1000</v>
      </c>
      <c r="D122" s="8" t="s">
        <v>10</v>
      </c>
      <c r="E122" s="17"/>
      <c r="F122" s="17">
        <f>E122*C122</f>
        <v>0</v>
      </c>
    </row>
    <row r="123" spans="1:6" x14ac:dyDescent="0.35">
      <c r="A123" s="8"/>
      <c r="B123" s="4"/>
      <c r="C123" s="8"/>
      <c r="D123" s="8"/>
      <c r="E123" s="17"/>
      <c r="F123" s="17"/>
    </row>
    <row r="124" spans="1:6" x14ac:dyDescent="0.35">
      <c r="A124" s="8" t="s">
        <v>1174</v>
      </c>
      <c r="B124" s="4" t="s">
        <v>1219</v>
      </c>
      <c r="C124" s="8">
        <v>300</v>
      </c>
      <c r="D124" s="8" t="s">
        <v>10</v>
      </c>
      <c r="E124" s="17"/>
      <c r="F124" s="17">
        <f>E124*C124</f>
        <v>0</v>
      </c>
    </row>
    <row r="125" spans="1:6" x14ac:dyDescent="0.35">
      <c r="A125" s="8"/>
      <c r="B125" s="4"/>
      <c r="C125" s="8"/>
      <c r="D125" s="8"/>
      <c r="E125" s="17"/>
      <c r="F125" s="17"/>
    </row>
    <row r="126" spans="1:6" x14ac:dyDescent="0.35">
      <c r="A126" s="12"/>
      <c r="B126" s="19" t="s">
        <v>1202</v>
      </c>
      <c r="C126" s="12"/>
      <c r="D126" s="12"/>
      <c r="E126" s="18"/>
      <c r="F126" s="18">
        <f>SUM(F110:F125)</f>
        <v>0</v>
      </c>
    </row>
    <row r="127" spans="1:6" x14ac:dyDescent="0.35">
      <c r="A127" s="8"/>
      <c r="B127" s="4"/>
      <c r="C127" s="8"/>
      <c r="D127" s="8"/>
      <c r="E127" s="17"/>
      <c r="F127" s="17"/>
    </row>
    <row r="128" spans="1:6" x14ac:dyDescent="0.35">
      <c r="A128" s="8"/>
      <c r="B128" s="12" t="s">
        <v>1148</v>
      </c>
      <c r="C128" s="8"/>
      <c r="D128" s="8"/>
      <c r="E128" s="17"/>
      <c r="F128" s="17"/>
    </row>
    <row r="129" spans="1:6" x14ac:dyDescent="0.35">
      <c r="A129" s="8"/>
      <c r="B129" s="10"/>
      <c r="C129" s="8"/>
      <c r="D129" s="8"/>
      <c r="E129" s="17"/>
      <c r="F129" s="17"/>
    </row>
    <row r="130" spans="1:6" x14ac:dyDescent="0.35">
      <c r="A130" s="8"/>
      <c r="B130" s="10" t="s">
        <v>1205</v>
      </c>
      <c r="C130" s="8"/>
      <c r="D130" s="8"/>
      <c r="E130" s="17"/>
      <c r="F130" s="17"/>
    </row>
    <row r="131" spans="1:6" x14ac:dyDescent="0.35">
      <c r="A131" s="8"/>
      <c r="B131" s="10"/>
      <c r="C131" s="8"/>
      <c r="D131" s="8"/>
      <c r="E131" s="17"/>
      <c r="F131" s="17"/>
    </row>
    <row r="132" spans="1:6" x14ac:dyDescent="0.35">
      <c r="A132" s="8"/>
      <c r="B132" s="10" t="s">
        <v>1203</v>
      </c>
      <c r="C132" s="8"/>
      <c r="D132" s="8"/>
      <c r="E132" s="17"/>
      <c r="F132" s="17">
        <f>F108</f>
        <v>0</v>
      </c>
    </row>
    <row r="133" spans="1:6" x14ac:dyDescent="0.35">
      <c r="A133" s="8"/>
      <c r="B133" s="10"/>
      <c r="C133" s="8"/>
      <c r="D133" s="8"/>
      <c r="E133" s="17"/>
      <c r="F133" s="17"/>
    </row>
    <row r="134" spans="1:6" x14ac:dyDescent="0.35">
      <c r="A134" s="8"/>
      <c r="B134" s="10" t="s">
        <v>1204</v>
      </c>
      <c r="C134" s="8"/>
      <c r="D134" s="8"/>
      <c r="E134" s="17"/>
      <c r="F134" s="17">
        <f>F126</f>
        <v>0</v>
      </c>
    </row>
    <row r="135" spans="1:6" x14ac:dyDescent="0.35">
      <c r="A135" s="8"/>
      <c r="B135" s="10"/>
      <c r="C135" s="8"/>
      <c r="D135" s="8"/>
      <c r="E135" s="17"/>
      <c r="F135" s="17"/>
    </row>
    <row r="136" spans="1:6" s="11" customFormat="1" x14ac:dyDescent="0.35">
      <c r="A136" s="12"/>
      <c r="B136" s="19" t="s">
        <v>1250</v>
      </c>
      <c r="C136" s="12"/>
      <c r="D136" s="12"/>
      <c r="E136" s="18"/>
      <c r="F136" s="18">
        <f>SUM(F128:F135)</f>
        <v>0</v>
      </c>
    </row>
    <row r="137" spans="1:6" x14ac:dyDescent="0.35">
      <c r="A137" s="12"/>
      <c r="B137" s="19"/>
      <c r="C137" s="12"/>
      <c r="D137" s="12"/>
      <c r="E137" s="18"/>
      <c r="F137" s="18"/>
    </row>
    <row r="138" spans="1:6" x14ac:dyDescent="0.35">
      <c r="A138" s="12">
        <v>4</v>
      </c>
      <c r="B138" s="10" t="s">
        <v>1206</v>
      </c>
      <c r="C138" s="12"/>
      <c r="D138" s="12"/>
      <c r="E138" s="18"/>
      <c r="F138" s="18"/>
    </row>
    <row r="139" spans="1:6" x14ac:dyDescent="0.35">
      <c r="A139" s="8"/>
      <c r="B139" s="4"/>
      <c r="C139" s="8"/>
      <c r="D139" s="8"/>
      <c r="E139" s="17"/>
      <c r="F139" s="17"/>
    </row>
    <row r="140" spans="1:6" x14ac:dyDescent="0.35">
      <c r="A140" s="8" t="s">
        <v>1135</v>
      </c>
      <c r="B140" s="4" t="s">
        <v>1197</v>
      </c>
      <c r="C140" s="8">
        <v>6000</v>
      </c>
      <c r="D140" s="8" t="s">
        <v>10</v>
      </c>
      <c r="E140" s="17"/>
      <c r="F140" s="17">
        <f>E140*C140</f>
        <v>0</v>
      </c>
    </row>
    <row r="141" spans="1:6" x14ac:dyDescent="0.35">
      <c r="A141" s="8"/>
      <c r="B141" s="4"/>
      <c r="C141" s="8"/>
      <c r="D141" s="8"/>
      <c r="E141" s="17"/>
      <c r="F141" s="17"/>
    </row>
    <row r="142" spans="1:6" x14ac:dyDescent="0.35">
      <c r="A142" s="8" t="s">
        <v>1140</v>
      </c>
      <c r="B142" s="4" t="s">
        <v>1198</v>
      </c>
      <c r="C142" s="8">
        <v>3000</v>
      </c>
      <c r="D142" s="8" t="s">
        <v>10</v>
      </c>
      <c r="E142" s="17"/>
      <c r="F142" s="17">
        <f>E142*C142</f>
        <v>0</v>
      </c>
    </row>
    <row r="143" spans="1:6" x14ac:dyDescent="0.35">
      <c r="A143" s="8"/>
      <c r="B143" s="4"/>
      <c r="C143" s="8"/>
      <c r="D143" s="8"/>
      <c r="E143" s="17"/>
      <c r="F143" s="17"/>
    </row>
    <row r="144" spans="1:6" x14ac:dyDescent="0.35">
      <c r="A144" s="8" t="s">
        <v>1141</v>
      </c>
      <c r="B144" s="4" t="s">
        <v>1199</v>
      </c>
      <c r="C144" s="8">
        <v>1500</v>
      </c>
      <c r="D144" s="8" t="s">
        <v>10</v>
      </c>
      <c r="E144" s="17"/>
      <c r="F144" s="17">
        <f>E144*C144</f>
        <v>0</v>
      </c>
    </row>
    <row r="145" spans="1:6" x14ac:dyDescent="0.35">
      <c r="A145" s="8"/>
      <c r="B145" s="4"/>
      <c r="C145" s="8"/>
      <c r="D145" s="8"/>
      <c r="E145" s="17"/>
      <c r="F145" s="17"/>
    </row>
    <row r="146" spans="1:6" x14ac:dyDescent="0.35">
      <c r="A146" s="8" t="s">
        <v>1142</v>
      </c>
      <c r="B146" s="4" t="s">
        <v>1212</v>
      </c>
      <c r="C146" s="8">
        <v>75</v>
      </c>
      <c r="D146" s="8" t="s">
        <v>10</v>
      </c>
      <c r="E146" s="17"/>
      <c r="F146" s="17">
        <f>E146*C146</f>
        <v>0</v>
      </c>
    </row>
    <row r="147" spans="1:6" x14ac:dyDescent="0.35">
      <c r="A147" s="8"/>
      <c r="B147" s="4"/>
      <c r="C147" s="8"/>
      <c r="D147" s="8"/>
      <c r="E147" s="17"/>
      <c r="F147" s="17"/>
    </row>
    <row r="148" spans="1:6" x14ac:dyDescent="0.35">
      <c r="A148" s="8" t="s">
        <v>1139</v>
      </c>
      <c r="B148" s="4" t="s">
        <v>1213</v>
      </c>
      <c r="C148" s="8">
        <v>18</v>
      </c>
      <c r="D148" s="8" t="s">
        <v>10</v>
      </c>
      <c r="E148" s="17"/>
      <c r="F148" s="17">
        <f>E148*C148</f>
        <v>0</v>
      </c>
    </row>
    <row r="149" spans="1:6" x14ac:dyDescent="0.35">
      <c r="A149" s="8"/>
      <c r="B149" s="4"/>
      <c r="C149" s="8"/>
      <c r="D149" s="8"/>
      <c r="E149" s="17"/>
      <c r="F149" s="17"/>
    </row>
    <row r="150" spans="1:6" x14ac:dyDescent="0.35">
      <c r="A150" s="8" t="s">
        <v>1143</v>
      </c>
      <c r="B150" s="4" t="s">
        <v>1214</v>
      </c>
      <c r="C150" s="8">
        <v>1500</v>
      </c>
      <c r="D150" s="8" t="s">
        <v>10</v>
      </c>
      <c r="E150" s="17"/>
      <c r="F150" s="17">
        <f>E150*C150</f>
        <v>0</v>
      </c>
    </row>
    <row r="151" spans="1:6" x14ac:dyDescent="0.35">
      <c r="A151" s="8"/>
      <c r="B151" s="4"/>
      <c r="C151" s="8"/>
      <c r="D151" s="8"/>
      <c r="E151" s="17"/>
      <c r="F151" s="17"/>
    </row>
    <row r="152" spans="1:6" x14ac:dyDescent="0.35">
      <c r="A152" s="8" t="s">
        <v>1144</v>
      </c>
      <c r="B152" s="4" t="s">
        <v>1215</v>
      </c>
      <c r="C152" s="8">
        <v>3720</v>
      </c>
      <c r="D152" s="8" t="s">
        <v>10</v>
      </c>
      <c r="E152" s="17"/>
      <c r="F152" s="17">
        <f>E152*C152</f>
        <v>0</v>
      </c>
    </row>
    <row r="153" spans="1:6" x14ac:dyDescent="0.35">
      <c r="A153" s="8"/>
      <c r="B153" s="4"/>
      <c r="C153" s="8"/>
      <c r="D153" s="8"/>
      <c r="E153" s="17"/>
      <c r="F153" s="17"/>
    </row>
    <row r="154" spans="1:6" x14ac:dyDescent="0.35">
      <c r="A154" s="8" t="s">
        <v>1145</v>
      </c>
      <c r="B154" s="4" t="s">
        <v>1216</v>
      </c>
      <c r="C154" s="8">
        <v>1560</v>
      </c>
      <c r="D154" s="8" t="s">
        <v>10</v>
      </c>
      <c r="E154" s="17"/>
      <c r="F154" s="17">
        <f>E154*C154</f>
        <v>0</v>
      </c>
    </row>
    <row r="155" spans="1:6" x14ac:dyDescent="0.35">
      <c r="A155" s="8"/>
      <c r="B155" s="4"/>
      <c r="C155" s="8"/>
      <c r="D155" s="8"/>
      <c r="E155" s="17"/>
      <c r="F155" s="17"/>
    </row>
    <row r="156" spans="1:6" x14ac:dyDescent="0.35">
      <c r="A156" s="8" t="s">
        <v>1136</v>
      </c>
      <c r="B156" s="4" t="s">
        <v>1217</v>
      </c>
      <c r="C156" s="8">
        <v>1000</v>
      </c>
      <c r="D156" s="8" t="s">
        <v>10</v>
      </c>
      <c r="E156" s="17"/>
      <c r="F156" s="17">
        <f>E156*C156</f>
        <v>0</v>
      </c>
    </row>
    <row r="157" spans="1:6" x14ac:dyDescent="0.35">
      <c r="A157" s="8"/>
      <c r="B157" s="4"/>
      <c r="C157" s="8"/>
      <c r="D157" s="8"/>
      <c r="E157" s="17"/>
      <c r="F157" s="17"/>
    </row>
    <row r="158" spans="1:6" x14ac:dyDescent="0.35">
      <c r="A158" s="12"/>
      <c r="B158" s="19" t="s">
        <v>1218</v>
      </c>
      <c r="C158" s="12"/>
      <c r="D158" s="12"/>
      <c r="E158" s="18"/>
      <c r="F158" s="18">
        <f>SUM(F138:F157)</f>
        <v>0</v>
      </c>
    </row>
    <row r="159" spans="1:6" x14ac:dyDescent="0.35">
      <c r="A159" s="8"/>
      <c r="B159" s="4"/>
      <c r="C159" s="8"/>
      <c r="D159" s="8"/>
      <c r="E159" s="17"/>
      <c r="F159" s="17"/>
    </row>
    <row r="160" spans="1:6" x14ac:dyDescent="0.35">
      <c r="A160" s="8"/>
      <c r="B160" s="12" t="s">
        <v>1148</v>
      </c>
      <c r="C160" s="8"/>
      <c r="D160" s="8"/>
      <c r="E160" s="17"/>
      <c r="F160" s="17"/>
    </row>
    <row r="161" spans="1:6" x14ac:dyDescent="0.35">
      <c r="A161" s="8"/>
      <c r="B161" s="10"/>
      <c r="C161" s="8"/>
      <c r="D161" s="8"/>
      <c r="E161" s="17"/>
      <c r="F161" s="17"/>
    </row>
    <row r="162" spans="1:6" x14ac:dyDescent="0.35">
      <c r="A162" s="8"/>
      <c r="B162" s="10" t="s">
        <v>1220</v>
      </c>
      <c r="C162" s="8"/>
      <c r="D162" s="8"/>
      <c r="E162" s="17"/>
      <c r="F162" s="17"/>
    </row>
    <row r="163" spans="1:6" x14ac:dyDescent="0.35">
      <c r="A163" s="8"/>
      <c r="B163" s="10"/>
      <c r="C163" s="8"/>
      <c r="D163" s="8"/>
      <c r="E163" s="17"/>
      <c r="F163" s="17"/>
    </row>
    <row r="164" spans="1:6" x14ac:dyDescent="0.35">
      <c r="A164" s="8"/>
      <c r="B164" s="10" t="s">
        <v>1221</v>
      </c>
      <c r="C164" s="8"/>
      <c r="D164" s="8"/>
      <c r="E164" s="17"/>
      <c r="F164" s="17">
        <f>F158</f>
        <v>0</v>
      </c>
    </row>
    <row r="165" spans="1:6" x14ac:dyDescent="0.35">
      <c r="A165" s="8"/>
      <c r="B165" s="10"/>
      <c r="C165" s="8"/>
      <c r="D165" s="8"/>
      <c r="E165" s="17"/>
      <c r="F165" s="17"/>
    </row>
    <row r="166" spans="1:6" x14ac:dyDescent="0.35">
      <c r="A166" s="12"/>
      <c r="B166" s="19" t="s">
        <v>1222</v>
      </c>
      <c r="C166" s="12"/>
      <c r="D166" s="12"/>
      <c r="E166" s="18"/>
      <c r="F166" s="18">
        <f>SUM(F160:F165)</f>
        <v>0</v>
      </c>
    </row>
    <row r="167" spans="1:6" x14ac:dyDescent="0.35">
      <c r="A167" s="12"/>
      <c r="B167" s="19"/>
      <c r="C167" s="12"/>
      <c r="D167" s="12"/>
      <c r="E167" s="18"/>
      <c r="F167" s="18"/>
    </row>
    <row r="168" spans="1:6" x14ac:dyDescent="0.35">
      <c r="A168" s="12">
        <v>5</v>
      </c>
      <c r="B168" s="10" t="s">
        <v>1223</v>
      </c>
      <c r="C168" s="12"/>
      <c r="D168" s="12"/>
      <c r="E168" s="18"/>
      <c r="F168" s="18"/>
    </row>
    <row r="169" spans="1:6" x14ac:dyDescent="0.35">
      <c r="A169" s="8"/>
      <c r="B169" s="4"/>
      <c r="C169" s="8"/>
      <c r="D169" s="8"/>
      <c r="E169" s="17"/>
      <c r="F169" s="17"/>
    </row>
    <row r="170" spans="1:6" x14ac:dyDescent="0.35">
      <c r="A170" s="8" t="s">
        <v>1135</v>
      </c>
      <c r="B170" s="4" t="s">
        <v>1224</v>
      </c>
      <c r="C170" s="8">
        <v>20</v>
      </c>
      <c r="D170" s="8" t="s">
        <v>1200</v>
      </c>
      <c r="E170" s="17"/>
      <c r="F170" s="17">
        <f>E170*C170</f>
        <v>0</v>
      </c>
    </row>
    <row r="171" spans="1:6" x14ac:dyDescent="0.35">
      <c r="A171" s="8"/>
      <c r="B171" s="4"/>
      <c r="C171" s="8"/>
      <c r="D171" s="8"/>
      <c r="E171" s="17"/>
      <c r="F171" s="17"/>
    </row>
    <row r="172" spans="1:6" x14ac:dyDescent="0.35">
      <c r="A172" s="8" t="s">
        <v>1140</v>
      </c>
      <c r="B172" s="4" t="s">
        <v>1225</v>
      </c>
      <c r="C172" s="8">
        <v>10</v>
      </c>
      <c r="D172" s="8" t="s">
        <v>1200</v>
      </c>
      <c r="E172" s="17"/>
      <c r="F172" s="17">
        <f>E172*C172</f>
        <v>0</v>
      </c>
    </row>
    <row r="173" spans="1:6" x14ac:dyDescent="0.35">
      <c r="A173" s="8"/>
      <c r="B173" s="4"/>
      <c r="C173" s="8"/>
      <c r="D173" s="8"/>
      <c r="E173" s="17"/>
      <c r="F173" s="17"/>
    </row>
    <row r="174" spans="1:6" x14ac:dyDescent="0.35">
      <c r="A174" s="8" t="s">
        <v>1141</v>
      </c>
      <c r="B174" s="4" t="s">
        <v>1226</v>
      </c>
      <c r="C174" s="8">
        <v>10</v>
      </c>
      <c r="D174" s="8" t="s">
        <v>1200</v>
      </c>
      <c r="E174" s="17"/>
      <c r="F174" s="17">
        <f>E174*C174</f>
        <v>0</v>
      </c>
    </row>
    <row r="175" spans="1:6" x14ac:dyDescent="0.35">
      <c r="A175" s="8"/>
      <c r="B175" s="4"/>
      <c r="C175" s="8"/>
      <c r="D175" s="8"/>
      <c r="E175" s="17"/>
      <c r="F175" s="17"/>
    </row>
    <row r="176" spans="1:6" x14ac:dyDescent="0.35">
      <c r="A176" s="8" t="s">
        <v>1142</v>
      </c>
      <c r="B176" s="4" t="s">
        <v>1227</v>
      </c>
      <c r="C176" s="8">
        <v>5</v>
      </c>
      <c r="D176" s="8" t="s">
        <v>1200</v>
      </c>
      <c r="E176" s="17"/>
      <c r="F176" s="17">
        <f>E176*C176</f>
        <v>0</v>
      </c>
    </row>
    <row r="177" spans="1:6" x14ac:dyDescent="0.35">
      <c r="A177" s="8"/>
      <c r="B177" s="4"/>
      <c r="C177" s="8"/>
      <c r="D177" s="8"/>
      <c r="E177" s="17"/>
      <c r="F177" s="17"/>
    </row>
    <row r="178" spans="1:6" x14ac:dyDescent="0.35">
      <c r="A178" s="8" t="s">
        <v>1139</v>
      </c>
      <c r="B178" s="4" t="s">
        <v>1228</v>
      </c>
      <c r="C178" s="8">
        <v>10</v>
      </c>
      <c r="D178" s="8" t="s">
        <v>1200</v>
      </c>
      <c r="E178" s="17"/>
      <c r="F178" s="17">
        <f>E178*C178</f>
        <v>0</v>
      </c>
    </row>
    <row r="179" spans="1:6" x14ac:dyDescent="0.35">
      <c r="A179" s="8"/>
      <c r="B179" s="4"/>
      <c r="C179" s="8"/>
      <c r="D179" s="8"/>
      <c r="E179" s="17"/>
      <c r="F179" s="17"/>
    </row>
    <row r="180" spans="1:6" x14ac:dyDescent="0.35">
      <c r="A180" s="8" t="s">
        <v>1143</v>
      </c>
      <c r="B180" s="4" t="s">
        <v>1252</v>
      </c>
      <c r="C180" s="8">
        <v>160</v>
      </c>
      <c r="D180" s="8" t="s">
        <v>10</v>
      </c>
      <c r="E180" s="17"/>
      <c r="F180" s="17">
        <f>E180*C180</f>
        <v>0</v>
      </c>
    </row>
    <row r="181" spans="1:6" x14ac:dyDescent="0.35">
      <c r="A181" s="8"/>
      <c r="B181" s="4"/>
      <c r="C181" s="8"/>
      <c r="D181" s="8"/>
      <c r="E181" s="17"/>
      <c r="F181" s="17"/>
    </row>
    <row r="182" spans="1:6" x14ac:dyDescent="0.35">
      <c r="A182" s="8" t="s">
        <v>1144</v>
      </c>
      <c r="B182" s="4" t="s">
        <v>1253</v>
      </c>
      <c r="C182" s="8">
        <v>80</v>
      </c>
      <c r="D182" s="8" t="s">
        <v>10</v>
      </c>
      <c r="E182" s="17"/>
      <c r="F182" s="17">
        <f>E182*C182</f>
        <v>0</v>
      </c>
    </row>
    <row r="183" spans="1:6" x14ac:dyDescent="0.35">
      <c r="A183" s="8"/>
      <c r="B183" s="4"/>
      <c r="C183" s="8"/>
      <c r="D183" s="8"/>
      <c r="E183" s="17"/>
      <c r="F183" s="17"/>
    </row>
    <row r="184" spans="1:6" x14ac:dyDescent="0.35">
      <c r="A184" s="8" t="s">
        <v>1145</v>
      </c>
      <c r="B184" s="4" t="s">
        <v>1230</v>
      </c>
      <c r="C184" s="8">
        <v>300</v>
      </c>
      <c r="D184" s="8" t="s">
        <v>1200</v>
      </c>
      <c r="E184" s="17"/>
      <c r="F184" s="17">
        <f>E184*C184</f>
        <v>0</v>
      </c>
    </row>
    <row r="185" spans="1:6" x14ac:dyDescent="0.35">
      <c r="A185" s="8"/>
      <c r="B185" s="4"/>
      <c r="C185" s="8"/>
      <c r="D185" s="8"/>
      <c r="E185" s="17"/>
      <c r="F185" s="17"/>
    </row>
    <row r="186" spans="1:6" x14ac:dyDescent="0.35">
      <c r="A186" s="8" t="s">
        <v>1136</v>
      </c>
      <c r="B186" s="4" t="s">
        <v>1231</v>
      </c>
      <c r="C186" s="8">
        <v>15</v>
      </c>
      <c r="D186" s="8" t="s">
        <v>1200</v>
      </c>
      <c r="E186" s="17"/>
      <c r="F186" s="17">
        <f>E186*C186</f>
        <v>0</v>
      </c>
    </row>
    <row r="187" spans="1:6" x14ac:dyDescent="0.35">
      <c r="A187" s="8"/>
      <c r="B187" s="4"/>
      <c r="C187" s="8"/>
      <c r="D187" s="8"/>
      <c r="E187" s="17"/>
      <c r="F187" s="17"/>
    </row>
    <row r="188" spans="1:6" x14ac:dyDescent="0.35">
      <c r="A188" s="8" t="s">
        <v>1170</v>
      </c>
      <c r="B188" s="4" t="s">
        <v>1232</v>
      </c>
      <c r="C188" s="8">
        <v>10</v>
      </c>
      <c r="D188" s="8" t="s">
        <v>1200</v>
      </c>
      <c r="E188" s="17"/>
      <c r="F188" s="17">
        <f>E188*C188</f>
        <v>0</v>
      </c>
    </row>
    <row r="189" spans="1:6" x14ac:dyDescent="0.35">
      <c r="A189" s="8"/>
      <c r="B189" s="4"/>
      <c r="C189" s="8"/>
      <c r="D189" s="8"/>
      <c r="E189" s="17"/>
      <c r="F189" s="17"/>
    </row>
    <row r="190" spans="1:6" x14ac:dyDescent="0.35">
      <c r="A190" s="8" t="s">
        <v>1137</v>
      </c>
      <c r="B190" s="4" t="s">
        <v>1254</v>
      </c>
      <c r="C190" s="8">
        <v>100</v>
      </c>
      <c r="D190" s="8" t="s">
        <v>1200</v>
      </c>
      <c r="E190" s="17"/>
      <c r="F190" s="17">
        <f>E190*C190</f>
        <v>0</v>
      </c>
    </row>
    <row r="191" spans="1:6" x14ac:dyDescent="0.35">
      <c r="A191" s="8"/>
      <c r="B191" s="4"/>
      <c r="C191" s="8"/>
      <c r="D191" s="8"/>
      <c r="E191" s="17"/>
      <c r="F191" s="17"/>
    </row>
    <row r="192" spans="1:6" x14ac:dyDescent="0.35">
      <c r="A192" s="12"/>
      <c r="B192" s="19" t="s">
        <v>1233</v>
      </c>
      <c r="C192" s="12"/>
      <c r="D192" s="12"/>
      <c r="E192" s="18"/>
      <c r="F192" s="18">
        <f>SUM(F168:F191)</f>
        <v>0</v>
      </c>
    </row>
    <row r="193" spans="1:6" x14ac:dyDescent="0.35">
      <c r="A193" s="8"/>
      <c r="B193" s="4"/>
      <c r="C193" s="8"/>
      <c r="D193" s="8"/>
      <c r="E193" s="17"/>
      <c r="F193" s="17"/>
    </row>
    <row r="194" spans="1:6" x14ac:dyDescent="0.35">
      <c r="A194" s="8"/>
      <c r="B194" s="12" t="s">
        <v>1148</v>
      </c>
      <c r="C194" s="8"/>
      <c r="D194" s="8"/>
      <c r="E194" s="17"/>
      <c r="F194" s="17"/>
    </row>
    <row r="195" spans="1:6" x14ac:dyDescent="0.35">
      <c r="A195" s="8"/>
      <c r="B195" s="10"/>
      <c r="C195" s="8"/>
      <c r="D195" s="8"/>
      <c r="E195" s="17"/>
      <c r="F195" s="17"/>
    </row>
    <row r="196" spans="1:6" x14ac:dyDescent="0.35">
      <c r="A196" s="8"/>
      <c r="B196" s="10" t="s">
        <v>1234</v>
      </c>
      <c r="C196" s="8"/>
      <c r="D196" s="8"/>
      <c r="E196" s="17"/>
      <c r="F196" s="17"/>
    </row>
    <row r="197" spans="1:6" x14ac:dyDescent="0.35">
      <c r="A197" s="8"/>
      <c r="B197" s="10"/>
      <c r="C197" s="8"/>
      <c r="D197" s="8"/>
      <c r="E197" s="17"/>
      <c r="F197" s="17"/>
    </row>
    <row r="198" spans="1:6" x14ac:dyDescent="0.35">
      <c r="A198" s="8"/>
      <c r="B198" s="10" t="s">
        <v>1235</v>
      </c>
      <c r="C198" s="8"/>
      <c r="D198" s="8"/>
      <c r="E198" s="17"/>
      <c r="F198" s="17">
        <f>F192</f>
        <v>0</v>
      </c>
    </row>
    <row r="199" spans="1:6" x14ac:dyDescent="0.35">
      <c r="A199" s="8"/>
      <c r="B199" s="10"/>
      <c r="C199" s="8"/>
      <c r="D199" s="8"/>
      <c r="E199" s="17"/>
      <c r="F199" s="17"/>
    </row>
    <row r="200" spans="1:6" x14ac:dyDescent="0.35">
      <c r="A200" s="12"/>
      <c r="B200" s="19" t="s">
        <v>1236</v>
      </c>
      <c r="C200" s="12"/>
      <c r="D200" s="12"/>
      <c r="E200" s="18"/>
      <c r="F200" s="18">
        <f>SUM(F194:F199)</f>
        <v>0</v>
      </c>
    </row>
    <row r="201" spans="1:6" x14ac:dyDescent="0.35">
      <c r="A201" s="12"/>
      <c r="B201" s="19"/>
      <c r="C201" s="12"/>
      <c r="D201" s="12"/>
      <c r="E201" s="18"/>
      <c r="F201" s="18"/>
    </row>
    <row r="202" spans="1:6" x14ac:dyDescent="0.35">
      <c r="A202" s="12">
        <v>6</v>
      </c>
      <c r="B202" s="10" t="s">
        <v>1237</v>
      </c>
      <c r="C202" s="12"/>
      <c r="D202" s="12"/>
      <c r="E202" s="18"/>
      <c r="F202" s="18"/>
    </row>
    <row r="203" spans="1:6" x14ac:dyDescent="0.35">
      <c r="A203" s="8"/>
      <c r="B203" s="4"/>
      <c r="C203" s="8"/>
      <c r="D203" s="8"/>
      <c r="E203" s="17"/>
      <c r="F203" s="17"/>
    </row>
    <row r="204" spans="1:6" x14ac:dyDescent="0.35">
      <c r="A204" s="8" t="s">
        <v>1135</v>
      </c>
      <c r="B204" s="4" t="s">
        <v>1238</v>
      </c>
      <c r="C204" s="8">
        <v>1</v>
      </c>
      <c r="D204" s="8" t="s">
        <v>1147</v>
      </c>
      <c r="E204" s="17"/>
      <c r="F204" s="17">
        <f>E204*C204</f>
        <v>0</v>
      </c>
    </row>
    <row r="205" spans="1:6" x14ac:dyDescent="0.35">
      <c r="A205" s="8"/>
      <c r="B205" s="4"/>
      <c r="C205" s="8"/>
      <c r="D205" s="8"/>
      <c r="E205" s="17"/>
      <c r="F205" s="17"/>
    </row>
    <row r="206" spans="1:6" x14ac:dyDescent="0.35">
      <c r="A206" s="8" t="s">
        <v>1140</v>
      </c>
      <c r="B206" s="4" t="s">
        <v>1239</v>
      </c>
      <c r="C206" s="8">
        <v>1</v>
      </c>
      <c r="D206" s="8" t="s">
        <v>1147</v>
      </c>
      <c r="E206" s="17"/>
      <c r="F206" s="17">
        <f>E206*C206</f>
        <v>0</v>
      </c>
    </row>
    <row r="207" spans="1:6" x14ac:dyDescent="0.35">
      <c r="A207" s="8"/>
      <c r="B207" s="4"/>
      <c r="C207" s="8"/>
      <c r="D207" s="8"/>
      <c r="E207" s="17"/>
      <c r="F207" s="17"/>
    </row>
    <row r="208" spans="1:6" x14ac:dyDescent="0.35">
      <c r="A208" s="8" t="s">
        <v>1141</v>
      </c>
      <c r="B208" s="4" t="s">
        <v>1240</v>
      </c>
      <c r="C208" s="8">
        <v>1</v>
      </c>
      <c r="D208" s="8" t="s">
        <v>1147</v>
      </c>
      <c r="E208" s="17"/>
      <c r="F208" s="17">
        <f>E208*C208</f>
        <v>0</v>
      </c>
    </row>
    <row r="209" spans="1:6" x14ac:dyDescent="0.35">
      <c r="A209" s="8"/>
      <c r="B209" s="4"/>
      <c r="C209" s="8"/>
      <c r="D209" s="8"/>
      <c r="E209" s="17"/>
      <c r="F209" s="17"/>
    </row>
    <row r="210" spans="1:6" x14ac:dyDescent="0.35">
      <c r="A210" s="8" t="s">
        <v>1142</v>
      </c>
      <c r="B210" s="4" t="s">
        <v>1241</v>
      </c>
      <c r="C210" s="8">
        <v>1</v>
      </c>
      <c r="D210" s="8" t="s">
        <v>1147</v>
      </c>
      <c r="E210" s="17"/>
      <c r="F210" s="17">
        <f>E210*C210</f>
        <v>0</v>
      </c>
    </row>
    <row r="211" spans="1:6" x14ac:dyDescent="0.35">
      <c r="A211" s="8"/>
      <c r="B211" s="4"/>
      <c r="C211" s="8"/>
      <c r="D211" s="8"/>
      <c r="E211" s="17"/>
      <c r="F211" s="17"/>
    </row>
    <row r="212" spans="1:6" x14ac:dyDescent="0.35">
      <c r="A212" s="8" t="s">
        <v>1139</v>
      </c>
      <c r="B212" s="4" t="s">
        <v>1242</v>
      </c>
      <c r="C212" s="8">
        <v>1</v>
      </c>
      <c r="D212" s="8" t="s">
        <v>1147</v>
      </c>
      <c r="E212" s="17"/>
      <c r="F212" s="17">
        <f>E212*C212</f>
        <v>0</v>
      </c>
    </row>
    <row r="213" spans="1:6" x14ac:dyDescent="0.35">
      <c r="A213" s="8"/>
      <c r="B213" s="4"/>
      <c r="C213" s="8"/>
      <c r="D213" s="8"/>
      <c r="E213" s="17"/>
      <c r="F213" s="17"/>
    </row>
    <row r="214" spans="1:6" x14ac:dyDescent="0.35">
      <c r="A214" s="8" t="s">
        <v>1143</v>
      </c>
      <c r="B214" s="4" t="s">
        <v>1243</v>
      </c>
      <c r="C214" s="8">
        <v>1</v>
      </c>
      <c r="D214" s="8" t="s">
        <v>1147</v>
      </c>
      <c r="E214" s="17"/>
      <c r="F214" s="17">
        <f>E214*C214</f>
        <v>0</v>
      </c>
    </row>
    <row r="215" spans="1:6" x14ac:dyDescent="0.35">
      <c r="A215" s="8"/>
      <c r="B215" s="4"/>
      <c r="C215" s="8"/>
      <c r="D215" s="8"/>
      <c r="E215" s="17"/>
      <c r="F215" s="17"/>
    </row>
    <row r="216" spans="1:6" x14ac:dyDescent="0.35">
      <c r="A216" s="8" t="s">
        <v>1144</v>
      </c>
      <c r="B216" s="4" t="s">
        <v>1244</v>
      </c>
      <c r="C216" s="8">
        <v>1</v>
      </c>
      <c r="D216" s="8" t="s">
        <v>1147</v>
      </c>
      <c r="E216" s="17"/>
      <c r="F216" s="17">
        <f>E216*C216</f>
        <v>0</v>
      </c>
    </row>
    <row r="217" spans="1:6" x14ac:dyDescent="0.35">
      <c r="A217" s="8"/>
      <c r="B217" s="4"/>
      <c r="C217" s="8"/>
      <c r="D217" s="8"/>
      <c r="E217" s="17"/>
      <c r="F217" s="17"/>
    </row>
    <row r="218" spans="1:6" x14ac:dyDescent="0.35">
      <c r="A218" s="12"/>
      <c r="B218" s="19" t="s">
        <v>1245</v>
      </c>
      <c r="C218" s="12"/>
      <c r="D218" s="12"/>
      <c r="E218" s="18"/>
      <c r="F218" s="18">
        <f>SUM(F202:F217)</f>
        <v>0</v>
      </c>
    </row>
    <row r="219" spans="1:6" x14ac:dyDescent="0.35">
      <c r="A219" s="8"/>
      <c r="B219" s="4"/>
      <c r="C219" s="8"/>
      <c r="D219" s="8"/>
      <c r="E219" s="17"/>
      <c r="F219" s="17"/>
    </row>
    <row r="220" spans="1:6" x14ac:dyDescent="0.35">
      <c r="A220" s="8"/>
      <c r="B220" s="12" t="s">
        <v>1148</v>
      </c>
      <c r="C220" s="8"/>
      <c r="D220" s="8"/>
      <c r="E220" s="17"/>
      <c r="F220" s="17"/>
    </row>
    <row r="221" spans="1:6" x14ac:dyDescent="0.35">
      <c r="A221" s="8"/>
      <c r="B221" s="10"/>
      <c r="C221" s="8"/>
      <c r="D221" s="8"/>
      <c r="E221" s="17"/>
      <c r="F221" s="17"/>
    </row>
    <row r="222" spans="1:6" x14ac:dyDescent="0.35">
      <c r="A222" s="8"/>
      <c r="B222" s="10" t="s">
        <v>1246</v>
      </c>
      <c r="C222" s="8"/>
      <c r="D222" s="8"/>
      <c r="E222" s="17"/>
      <c r="F222" s="17"/>
    </row>
    <row r="223" spans="1:6" x14ac:dyDescent="0.35">
      <c r="A223" s="8"/>
      <c r="B223" s="10"/>
      <c r="C223" s="8"/>
      <c r="D223" s="8"/>
      <c r="E223" s="17"/>
      <c r="F223" s="17"/>
    </row>
    <row r="224" spans="1:6" x14ac:dyDescent="0.35">
      <c r="A224" s="8"/>
      <c r="B224" s="10" t="s">
        <v>1248</v>
      </c>
      <c r="C224" s="8"/>
      <c r="D224" s="8"/>
      <c r="E224" s="17"/>
      <c r="F224" s="17">
        <f>F218</f>
        <v>0</v>
      </c>
    </row>
    <row r="225" spans="1:6" x14ac:dyDescent="0.35">
      <c r="A225" s="8"/>
      <c r="B225" s="10"/>
      <c r="C225" s="8"/>
      <c r="D225" s="8"/>
      <c r="E225" s="17"/>
      <c r="F225" s="17"/>
    </row>
    <row r="226" spans="1:6" x14ac:dyDescent="0.35">
      <c r="A226" s="12"/>
      <c r="B226" s="19" t="s">
        <v>1247</v>
      </c>
      <c r="C226" s="12"/>
      <c r="D226" s="12"/>
      <c r="E226" s="18"/>
      <c r="F226" s="18">
        <f>SUM(F220:F225)</f>
        <v>0</v>
      </c>
    </row>
    <row r="227" spans="1:6" x14ac:dyDescent="0.35">
      <c r="A227" s="12"/>
      <c r="B227" s="19"/>
      <c r="C227" s="12"/>
      <c r="D227" s="12"/>
      <c r="E227" s="18"/>
      <c r="F227" s="18"/>
    </row>
    <row r="228" spans="1:6" x14ac:dyDescent="0.35">
      <c r="A228" s="12">
        <v>7</v>
      </c>
      <c r="B228" s="10" t="s">
        <v>1256</v>
      </c>
      <c r="C228" s="12"/>
      <c r="D228" s="12"/>
      <c r="E228" s="18"/>
      <c r="F228" s="18"/>
    </row>
    <row r="229" spans="1:6" x14ac:dyDescent="0.35">
      <c r="A229" s="8"/>
      <c r="B229" s="4"/>
      <c r="C229" s="8"/>
      <c r="D229" s="8"/>
      <c r="E229" s="17"/>
      <c r="F229" s="17"/>
    </row>
    <row r="230" spans="1:6" x14ac:dyDescent="0.35">
      <c r="A230" s="8" t="s">
        <v>1135</v>
      </c>
      <c r="B230" s="4"/>
      <c r="C230" s="8"/>
      <c r="D230" s="8"/>
      <c r="E230" s="17"/>
      <c r="F230" s="17">
        <f>E230*C230</f>
        <v>0</v>
      </c>
    </row>
    <row r="231" spans="1:6" x14ac:dyDescent="0.35">
      <c r="A231" s="8"/>
      <c r="B231" s="4"/>
      <c r="C231" s="8"/>
      <c r="D231" s="8"/>
      <c r="E231" s="17"/>
      <c r="F231" s="17"/>
    </row>
    <row r="232" spans="1:6" x14ac:dyDescent="0.35">
      <c r="A232" s="8" t="s">
        <v>1140</v>
      </c>
      <c r="B232" s="4"/>
      <c r="C232" s="8"/>
      <c r="D232" s="8"/>
      <c r="E232" s="17"/>
      <c r="F232" s="17">
        <f>E232*C232</f>
        <v>0</v>
      </c>
    </row>
    <row r="233" spans="1:6" x14ac:dyDescent="0.35">
      <c r="A233" s="8"/>
      <c r="B233" s="4"/>
      <c r="C233" s="8"/>
      <c r="D233" s="8"/>
      <c r="E233" s="17"/>
      <c r="F233" s="17"/>
    </row>
    <row r="234" spans="1:6" x14ac:dyDescent="0.35">
      <c r="A234" s="8" t="s">
        <v>1141</v>
      </c>
      <c r="B234" s="4"/>
      <c r="C234" s="8"/>
      <c r="D234" s="8"/>
      <c r="E234" s="17"/>
      <c r="F234" s="17">
        <f>E234*C234</f>
        <v>0</v>
      </c>
    </row>
    <row r="235" spans="1:6" x14ac:dyDescent="0.35">
      <c r="A235" s="8"/>
      <c r="B235" s="4"/>
      <c r="C235" s="8"/>
      <c r="D235" s="8"/>
      <c r="E235" s="17"/>
      <c r="F235" s="17"/>
    </row>
    <row r="236" spans="1:6" x14ac:dyDescent="0.35">
      <c r="A236" s="8" t="s">
        <v>1142</v>
      </c>
      <c r="B236" s="4"/>
      <c r="C236" s="8"/>
      <c r="D236" s="8"/>
      <c r="E236" s="17"/>
      <c r="F236" s="17">
        <f>E236*C236</f>
        <v>0</v>
      </c>
    </row>
    <row r="237" spans="1:6" x14ac:dyDescent="0.35">
      <c r="A237" s="8"/>
      <c r="B237" s="4"/>
      <c r="C237" s="8"/>
      <c r="D237" s="8"/>
      <c r="E237" s="17"/>
      <c r="F237" s="17"/>
    </row>
    <row r="238" spans="1:6" x14ac:dyDescent="0.35">
      <c r="A238" s="8" t="s">
        <v>1139</v>
      </c>
      <c r="B238" s="4"/>
      <c r="C238" s="8"/>
      <c r="D238" s="8"/>
      <c r="E238" s="17"/>
      <c r="F238" s="17">
        <f>E238*C238</f>
        <v>0</v>
      </c>
    </row>
    <row r="239" spans="1:6" x14ac:dyDescent="0.35">
      <c r="A239" s="8"/>
      <c r="B239" s="4"/>
      <c r="C239" s="8"/>
      <c r="D239" s="8"/>
      <c r="E239" s="17"/>
      <c r="F239" s="17"/>
    </row>
    <row r="240" spans="1:6" x14ac:dyDescent="0.35">
      <c r="A240" s="8" t="s">
        <v>1143</v>
      </c>
      <c r="B240" s="4"/>
      <c r="C240" s="8"/>
      <c r="D240" s="8"/>
      <c r="E240" s="17"/>
      <c r="F240" s="17">
        <f>E240*C240</f>
        <v>0</v>
      </c>
    </row>
    <row r="241" spans="1:6" x14ac:dyDescent="0.35">
      <c r="A241" s="8"/>
      <c r="B241" s="4"/>
      <c r="C241" s="8"/>
      <c r="D241" s="8"/>
      <c r="E241" s="17"/>
      <c r="F241" s="17"/>
    </row>
    <row r="242" spans="1:6" x14ac:dyDescent="0.35">
      <c r="A242" s="8" t="s">
        <v>1144</v>
      </c>
      <c r="B242" s="4"/>
      <c r="C242" s="8"/>
      <c r="D242" s="8"/>
      <c r="E242" s="17"/>
      <c r="F242" s="17">
        <f>E242*C242</f>
        <v>0</v>
      </c>
    </row>
    <row r="243" spans="1:6" x14ac:dyDescent="0.35">
      <c r="A243" s="8"/>
      <c r="B243" s="4"/>
      <c r="C243" s="8"/>
      <c r="D243" s="8"/>
      <c r="E243" s="17"/>
      <c r="F243" s="17"/>
    </row>
    <row r="244" spans="1:6" x14ac:dyDescent="0.35">
      <c r="A244" s="12"/>
      <c r="B244" s="19" t="s">
        <v>1257</v>
      </c>
      <c r="C244" s="12"/>
      <c r="D244" s="12"/>
      <c r="E244" s="18"/>
      <c r="F244" s="18">
        <f>SUM(F228:F243)</f>
        <v>0</v>
      </c>
    </row>
    <row r="245" spans="1:6" x14ac:dyDescent="0.35">
      <c r="A245" s="8"/>
      <c r="B245" s="4"/>
      <c r="C245" s="8"/>
      <c r="D245" s="8"/>
      <c r="E245" s="17"/>
      <c r="F245" s="17"/>
    </row>
    <row r="246" spans="1:6" x14ac:dyDescent="0.35">
      <c r="A246" s="8"/>
      <c r="B246" s="12" t="s">
        <v>1148</v>
      </c>
      <c r="C246" s="8"/>
      <c r="D246" s="8"/>
      <c r="E246" s="17"/>
      <c r="F246" s="17"/>
    </row>
    <row r="247" spans="1:6" x14ac:dyDescent="0.35">
      <c r="A247" s="8"/>
      <c r="B247" s="10"/>
      <c r="C247" s="8"/>
      <c r="D247" s="8"/>
      <c r="E247" s="17"/>
      <c r="F247" s="17"/>
    </row>
    <row r="248" spans="1:6" x14ac:dyDescent="0.35">
      <c r="A248" s="8"/>
      <c r="B248" s="10" t="s">
        <v>1255</v>
      </c>
      <c r="C248" s="8"/>
      <c r="D248" s="8"/>
      <c r="E248" s="17"/>
      <c r="F248" s="17"/>
    </row>
    <row r="249" spans="1:6" x14ac:dyDescent="0.35">
      <c r="A249" s="8"/>
      <c r="B249" s="10"/>
      <c r="C249" s="8"/>
      <c r="D249" s="8"/>
      <c r="E249" s="17"/>
      <c r="F249" s="17"/>
    </row>
    <row r="250" spans="1:6" x14ac:dyDescent="0.35">
      <c r="A250" s="8"/>
      <c r="B250" s="10" t="s">
        <v>1258</v>
      </c>
      <c r="C250" s="8"/>
      <c r="D250" s="8"/>
      <c r="E250" s="17"/>
      <c r="F250" s="17">
        <f>F244</f>
        <v>0</v>
      </c>
    </row>
    <row r="251" spans="1:6" x14ac:dyDescent="0.35">
      <c r="A251" s="8"/>
      <c r="B251" s="10"/>
      <c r="C251" s="8"/>
      <c r="D251" s="8"/>
      <c r="E251" s="17"/>
      <c r="F251" s="17"/>
    </row>
    <row r="252" spans="1:6" x14ac:dyDescent="0.35">
      <c r="A252" s="12"/>
      <c r="B252" s="19" t="s">
        <v>1259</v>
      </c>
      <c r="C252" s="12"/>
      <c r="D252" s="12"/>
      <c r="E252" s="18"/>
      <c r="F252" s="18">
        <f>SUM(F246:F251)</f>
        <v>0</v>
      </c>
    </row>
    <row r="253" spans="1:6" x14ac:dyDescent="0.35">
      <c r="A253" s="8"/>
      <c r="B253" s="4"/>
      <c r="C253" s="8"/>
      <c r="D253" s="8"/>
      <c r="E253" s="17"/>
      <c r="F253" s="17"/>
    </row>
    <row r="254" spans="1:6" x14ac:dyDescent="0.35">
      <c r="A254" s="8"/>
      <c r="B254" s="12" t="s">
        <v>1249</v>
      </c>
      <c r="C254" s="8"/>
      <c r="D254" s="8"/>
      <c r="E254" s="17"/>
      <c r="F254" s="17"/>
    </row>
    <row r="255" spans="1:6" x14ac:dyDescent="0.35">
      <c r="A255" s="8"/>
      <c r="B255" s="10"/>
      <c r="C255" s="8"/>
      <c r="D255" s="8"/>
      <c r="E255" s="17"/>
      <c r="F255" s="17"/>
    </row>
    <row r="256" spans="1:6" x14ac:dyDescent="0.35">
      <c r="A256" s="8"/>
      <c r="B256" s="10" t="s">
        <v>1149</v>
      </c>
      <c r="C256" s="8"/>
      <c r="D256" s="8"/>
      <c r="E256" s="17"/>
      <c r="F256" s="17">
        <f>F32</f>
        <v>0</v>
      </c>
    </row>
    <row r="257" spans="1:6" x14ac:dyDescent="0.35">
      <c r="A257" s="8"/>
      <c r="B257" s="10"/>
      <c r="C257" s="8"/>
      <c r="D257" s="8"/>
      <c r="E257" s="17"/>
      <c r="F257" s="17"/>
    </row>
    <row r="258" spans="1:6" x14ac:dyDescent="0.35">
      <c r="A258" s="8"/>
      <c r="B258" s="10" t="s">
        <v>1181</v>
      </c>
      <c r="C258" s="8"/>
      <c r="D258" s="8"/>
      <c r="E258" s="17"/>
      <c r="F258" s="17">
        <f>F86</f>
        <v>0</v>
      </c>
    </row>
    <row r="259" spans="1:6" x14ac:dyDescent="0.35">
      <c r="A259" s="8"/>
      <c r="B259" s="10"/>
      <c r="C259" s="8"/>
      <c r="D259" s="8"/>
      <c r="E259" s="17"/>
      <c r="F259" s="17"/>
    </row>
    <row r="260" spans="1:6" x14ac:dyDescent="0.35">
      <c r="A260" s="8"/>
      <c r="B260" s="10" t="s">
        <v>1205</v>
      </c>
      <c r="C260" s="8"/>
      <c r="D260" s="8"/>
      <c r="E260" s="17"/>
      <c r="F260" s="17">
        <f>F136</f>
        <v>0</v>
      </c>
    </row>
    <row r="261" spans="1:6" x14ac:dyDescent="0.35">
      <c r="A261" s="8"/>
      <c r="B261" s="10"/>
      <c r="C261" s="8"/>
      <c r="D261" s="8"/>
      <c r="E261" s="17"/>
      <c r="F261" s="17"/>
    </row>
    <row r="262" spans="1:6" x14ac:dyDescent="0.35">
      <c r="A262" s="8"/>
      <c r="B262" s="10" t="s">
        <v>1220</v>
      </c>
      <c r="C262" s="8"/>
      <c r="D262" s="8"/>
      <c r="E262" s="17"/>
      <c r="F262" s="17">
        <f>F166</f>
        <v>0</v>
      </c>
    </row>
    <row r="263" spans="1:6" x14ac:dyDescent="0.35">
      <c r="A263" s="8"/>
      <c r="B263" s="10"/>
      <c r="C263" s="8"/>
      <c r="D263" s="8"/>
      <c r="E263" s="17"/>
      <c r="F263" s="17"/>
    </row>
    <row r="264" spans="1:6" x14ac:dyDescent="0.35">
      <c r="A264" s="8"/>
      <c r="B264" s="10" t="s">
        <v>1234</v>
      </c>
      <c r="C264" s="8"/>
      <c r="D264" s="8"/>
      <c r="E264" s="17"/>
      <c r="F264" s="17">
        <f>F192</f>
        <v>0</v>
      </c>
    </row>
    <row r="265" spans="1:6" x14ac:dyDescent="0.35">
      <c r="A265" s="8"/>
      <c r="B265" s="10"/>
      <c r="C265" s="8"/>
      <c r="D265" s="8"/>
      <c r="E265" s="17"/>
      <c r="F265" s="17"/>
    </row>
    <row r="266" spans="1:6" x14ac:dyDescent="0.35">
      <c r="A266" s="8"/>
      <c r="B266" s="10" t="s">
        <v>1246</v>
      </c>
      <c r="C266" s="8"/>
      <c r="D266" s="8"/>
      <c r="E266" s="17"/>
      <c r="F266" s="17">
        <f>F226</f>
        <v>0</v>
      </c>
    </row>
    <row r="267" spans="1:6" x14ac:dyDescent="0.35">
      <c r="A267" s="8"/>
      <c r="B267" s="10"/>
      <c r="C267" s="8"/>
      <c r="D267" s="8"/>
      <c r="E267" s="17"/>
      <c r="F267" s="17"/>
    </row>
    <row r="268" spans="1:6" x14ac:dyDescent="0.35">
      <c r="A268" s="8"/>
      <c r="B268" s="10" t="s">
        <v>1255</v>
      </c>
      <c r="C268" s="8"/>
      <c r="D268" s="8"/>
      <c r="E268" s="17"/>
      <c r="F268" s="17">
        <f>F252</f>
        <v>0</v>
      </c>
    </row>
    <row r="269" spans="1:6" x14ac:dyDescent="0.35">
      <c r="A269" s="8"/>
      <c r="B269" s="10"/>
      <c r="C269" s="8"/>
      <c r="D269" s="8"/>
      <c r="E269" s="17"/>
      <c r="F269" s="17"/>
    </row>
    <row r="270" spans="1:6" x14ac:dyDescent="0.35">
      <c r="A270" s="12"/>
      <c r="B270" s="19" t="s">
        <v>1251</v>
      </c>
      <c r="C270" s="12"/>
      <c r="D270" s="12"/>
      <c r="E270" s="18"/>
      <c r="F270" s="18">
        <f>SUM(F254:F269)</f>
        <v>0</v>
      </c>
    </row>
  </sheetData>
  <mergeCells count="2">
    <mergeCell ref="A2:F2"/>
    <mergeCell ref="A1:F1"/>
  </mergeCells>
  <pageMargins left="0.7" right="0.7" top="0.75" bottom="0.75" header="0.3" footer="0.3"/>
  <pageSetup paperSize="9" orientation="portrait" r:id="rId1"/>
  <headerFooter>
    <oddFooter>Page &amp;P of &amp;N</oddFooter>
  </headerFooter>
  <rowBreaks count="16" manualBreakCount="16">
    <brk id="24" max="16383" man="1"/>
    <brk id="32" max="16383" man="1"/>
    <brk id="54" max="16383" man="1"/>
    <brk id="76" max="16383" man="1"/>
    <brk id="86" max="16383" man="1"/>
    <brk id="108" max="16383" man="1"/>
    <brk id="126" max="16383" man="1"/>
    <brk id="136" max="16383" man="1"/>
    <brk id="158" max="16383" man="1"/>
    <brk id="166" max="16383" man="1"/>
    <brk id="192" max="16383" man="1"/>
    <brk id="200" max="16383" man="1"/>
    <brk id="218" max="16383" man="1"/>
    <brk id="226" max="16383" man="1"/>
    <brk id="244" max="16383" man="1"/>
    <brk id="25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6"/>
  <sheetViews>
    <sheetView view="pageBreakPreview" zoomScaleNormal="70" zoomScaleSheetLayoutView="100" workbookViewId="0">
      <selection sqref="A1:XFD1048576"/>
    </sheetView>
  </sheetViews>
  <sheetFormatPr defaultRowHeight="14.5" x14ac:dyDescent="0.35"/>
  <cols>
    <col min="1" max="1" width="6.08984375" style="22" customWidth="1"/>
    <col min="2" max="2" width="12" style="22" bestFit="1" customWidth="1"/>
    <col min="3" max="3" width="10.6328125" style="22" bestFit="1" customWidth="1"/>
    <col min="4" max="4" width="10.7265625" style="20" bestFit="1" customWidth="1"/>
    <col min="5" max="6" width="2.81640625" style="22" bestFit="1" customWidth="1"/>
    <col min="7" max="7" width="2.1796875" style="22" bestFit="1" customWidth="1"/>
    <col min="8" max="8" width="13.6328125" style="22" bestFit="1" customWidth="1"/>
    <col min="9" max="9" width="6.26953125" style="36" bestFit="1" customWidth="1"/>
    <col min="10" max="11" width="7.26953125" style="36" bestFit="1" customWidth="1"/>
    <col min="12" max="12" width="6.26953125" style="36" bestFit="1" customWidth="1"/>
    <col min="13" max="14" width="5.26953125" style="36" bestFit="1" customWidth="1"/>
    <col min="15" max="15" width="7.26953125" style="36" bestFit="1" customWidth="1"/>
    <col min="16" max="16" width="5.26953125" style="36" bestFit="1" customWidth="1"/>
    <col min="17" max="17" width="8" style="36" bestFit="1" customWidth="1"/>
    <col min="18" max="18" width="8.453125" style="36" bestFit="1" customWidth="1"/>
    <col min="19" max="19" width="7.6328125" style="36" bestFit="1" customWidth="1"/>
    <col min="20" max="21" width="12.81640625" style="22" bestFit="1" customWidth="1"/>
    <col min="22" max="23" width="13.1796875" style="22" bestFit="1" customWidth="1"/>
    <col min="24" max="24" width="16.90625" style="22" bestFit="1" customWidth="1"/>
    <col min="25" max="25" width="13.81640625" style="22" bestFit="1" customWidth="1"/>
    <col min="26" max="26" width="14.26953125" style="22" bestFit="1" customWidth="1"/>
    <col min="27" max="28" width="10.453125" style="22" bestFit="1" customWidth="1"/>
    <col min="29" max="29" width="12.54296875" style="22" bestFit="1" customWidth="1"/>
    <col min="30" max="30" width="13.90625" style="22" bestFit="1" customWidth="1"/>
    <col min="31" max="31" width="8.26953125" style="22" bestFit="1" customWidth="1"/>
    <col min="32" max="34" width="10.453125" style="22" bestFit="1" customWidth="1"/>
    <col min="35" max="35" width="10.1796875" style="22" bestFit="1" customWidth="1"/>
    <col min="36" max="36" width="10.453125" style="22" bestFit="1" customWidth="1"/>
    <col min="37" max="37" width="13.36328125" style="22" bestFit="1" customWidth="1"/>
    <col min="38" max="16384" width="8.7265625" style="20"/>
  </cols>
  <sheetData>
    <row r="1" spans="1:37" s="21" customFormat="1" ht="43.5" x14ac:dyDescent="0.35">
      <c r="A1" s="24" t="s">
        <v>110</v>
      </c>
      <c r="B1" s="24" t="s">
        <v>1260</v>
      </c>
      <c r="C1" s="24" t="s">
        <v>1121</v>
      </c>
      <c r="D1" s="24" t="s">
        <v>2</v>
      </c>
      <c r="E1" s="24" t="s">
        <v>1261</v>
      </c>
      <c r="F1" s="24" t="s">
        <v>1138</v>
      </c>
      <c r="G1" s="24" t="s">
        <v>1262</v>
      </c>
      <c r="H1" s="24" t="s">
        <v>1277</v>
      </c>
      <c r="I1" s="25" t="s">
        <v>1200</v>
      </c>
      <c r="J1" s="25" t="s">
        <v>1200</v>
      </c>
      <c r="K1" s="25" t="s">
        <v>1261</v>
      </c>
      <c r="L1" s="25" t="s">
        <v>1138</v>
      </c>
      <c r="M1" s="25" t="s">
        <v>1262</v>
      </c>
      <c r="N1" s="25" t="s">
        <v>1270</v>
      </c>
      <c r="O1" s="25" t="s">
        <v>1263</v>
      </c>
      <c r="P1" s="25" t="s">
        <v>1267</v>
      </c>
      <c r="Q1" s="25" t="s">
        <v>1269</v>
      </c>
      <c r="R1" s="25" t="s">
        <v>1268</v>
      </c>
      <c r="S1" s="25" t="s">
        <v>1319</v>
      </c>
      <c r="T1" s="24" t="s">
        <v>1153</v>
      </c>
      <c r="U1" s="24" t="s">
        <v>1154</v>
      </c>
      <c r="V1" s="24" t="s">
        <v>1155</v>
      </c>
      <c r="W1" s="24" t="s">
        <v>1156</v>
      </c>
      <c r="X1" s="24" t="s">
        <v>1157</v>
      </c>
      <c r="Y1" s="24" t="s">
        <v>1158</v>
      </c>
      <c r="Z1" s="24" t="s">
        <v>1159</v>
      </c>
      <c r="AA1" s="24" t="s">
        <v>1160</v>
      </c>
      <c r="AB1" s="24" t="s">
        <v>1161</v>
      </c>
      <c r="AC1" s="24" t="s">
        <v>1164</v>
      </c>
      <c r="AD1" s="24" t="s">
        <v>1165</v>
      </c>
      <c r="AE1" s="24" t="s">
        <v>1166</v>
      </c>
      <c r="AF1" s="24" t="s">
        <v>1167</v>
      </c>
      <c r="AG1" s="24" t="s">
        <v>1168</v>
      </c>
      <c r="AH1" s="24" t="s">
        <v>1169</v>
      </c>
      <c r="AI1" s="24" t="s">
        <v>1177</v>
      </c>
      <c r="AJ1" s="24" t="s">
        <v>1178</v>
      </c>
      <c r="AK1" s="24" t="s">
        <v>1179</v>
      </c>
    </row>
    <row r="2" spans="1:37" ht="29" x14ac:dyDescent="0.35">
      <c r="A2" s="26">
        <v>1</v>
      </c>
      <c r="B2" s="26" t="s">
        <v>1264</v>
      </c>
      <c r="C2" s="26" t="s">
        <v>1302</v>
      </c>
      <c r="D2" s="27" t="s">
        <v>1279</v>
      </c>
      <c r="E2" s="26">
        <v>10</v>
      </c>
      <c r="F2" s="26">
        <v>10</v>
      </c>
      <c r="G2" s="26">
        <v>3</v>
      </c>
      <c r="H2" s="26" t="s">
        <v>1278</v>
      </c>
      <c r="I2" s="31">
        <v>1</v>
      </c>
      <c r="J2" s="31">
        <v>1</v>
      </c>
      <c r="K2" s="31">
        <f>(E2+F2)*2</f>
        <v>40</v>
      </c>
      <c r="L2" s="31">
        <v>1</v>
      </c>
      <c r="M2" s="31">
        <v>3</v>
      </c>
      <c r="N2" s="31">
        <v>0.1</v>
      </c>
      <c r="O2" s="31">
        <f t="shared" ref="O2:O33" si="0">PRODUCT(I2:N2)</f>
        <v>12</v>
      </c>
      <c r="P2" s="31"/>
      <c r="Q2" s="31"/>
      <c r="R2" s="31"/>
      <c r="S2" s="31"/>
      <c r="T2" s="32">
        <f>O2</f>
        <v>12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37" ht="29" x14ac:dyDescent="0.35">
      <c r="A3" s="26">
        <v>2</v>
      </c>
      <c r="B3" s="26" t="s">
        <v>1264</v>
      </c>
      <c r="C3" s="26" t="s">
        <v>1302</v>
      </c>
      <c r="D3" s="27" t="s">
        <v>1229</v>
      </c>
      <c r="E3" s="26">
        <v>10</v>
      </c>
      <c r="F3" s="26">
        <v>10</v>
      </c>
      <c r="G3" s="26">
        <v>3</v>
      </c>
      <c r="H3" s="26" t="s">
        <v>1278</v>
      </c>
      <c r="I3" s="31">
        <v>1</v>
      </c>
      <c r="J3" s="31">
        <v>1</v>
      </c>
      <c r="K3" s="31">
        <f>(E3+F3)*2</f>
        <v>40</v>
      </c>
      <c r="L3" s="31">
        <v>1</v>
      </c>
      <c r="M3" s="31">
        <v>3</v>
      </c>
      <c r="N3" s="31"/>
      <c r="O3" s="31">
        <f t="shared" si="0"/>
        <v>120</v>
      </c>
      <c r="P3" s="31"/>
      <c r="Q3" s="31"/>
      <c r="R3" s="31"/>
      <c r="S3" s="31"/>
      <c r="T3" s="26"/>
      <c r="U3" s="26"/>
      <c r="V3" s="26"/>
      <c r="W3" s="26"/>
      <c r="X3" s="26"/>
      <c r="Y3" s="26"/>
      <c r="Z3" s="26"/>
      <c r="AA3" s="26"/>
      <c r="AB3" s="26"/>
      <c r="AC3" s="32">
        <f>O3</f>
        <v>120</v>
      </c>
      <c r="AD3" s="26"/>
      <c r="AE3" s="26"/>
      <c r="AF3" s="26"/>
      <c r="AG3" s="26"/>
      <c r="AH3" s="26"/>
      <c r="AI3" s="26"/>
      <c r="AJ3" s="26"/>
      <c r="AK3" s="26"/>
    </row>
    <row r="4" spans="1:37" ht="29" x14ac:dyDescent="0.35">
      <c r="A4" s="26">
        <v>3</v>
      </c>
      <c r="B4" s="26" t="s">
        <v>1264</v>
      </c>
      <c r="C4" s="26" t="s">
        <v>1302</v>
      </c>
      <c r="D4" s="27" t="s">
        <v>1280</v>
      </c>
      <c r="E4" s="26">
        <v>10</v>
      </c>
      <c r="F4" s="26">
        <v>10</v>
      </c>
      <c r="G4" s="26">
        <v>3</v>
      </c>
      <c r="H4" s="26" t="s">
        <v>1278</v>
      </c>
      <c r="I4" s="31">
        <v>1</v>
      </c>
      <c r="J4" s="31">
        <v>1</v>
      </c>
      <c r="K4" s="31">
        <f t="shared" ref="K4:K17" si="1">(E4+F4)*2</f>
        <v>40</v>
      </c>
      <c r="L4" s="31">
        <v>1</v>
      </c>
      <c r="M4" s="31">
        <v>3</v>
      </c>
      <c r="N4" s="31">
        <v>0.15</v>
      </c>
      <c r="O4" s="31">
        <f t="shared" si="0"/>
        <v>18</v>
      </c>
      <c r="P4" s="31"/>
      <c r="Q4" s="31"/>
      <c r="R4" s="31"/>
      <c r="S4" s="31"/>
      <c r="T4" s="32">
        <f>O4</f>
        <v>18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</row>
    <row r="5" spans="1:37" ht="29" x14ac:dyDescent="0.35">
      <c r="A5" s="26">
        <v>4</v>
      </c>
      <c r="B5" s="26" t="s">
        <v>1264</v>
      </c>
      <c r="C5" s="26" t="s">
        <v>1302</v>
      </c>
      <c r="D5" s="27" t="s">
        <v>1281</v>
      </c>
      <c r="E5" s="26">
        <v>10</v>
      </c>
      <c r="F5" s="26">
        <v>10</v>
      </c>
      <c r="G5" s="26">
        <v>3</v>
      </c>
      <c r="H5" s="26" t="s">
        <v>1278</v>
      </c>
      <c r="I5" s="31">
        <v>1</v>
      </c>
      <c r="J5" s="31">
        <v>1</v>
      </c>
      <c r="K5" s="31">
        <f t="shared" si="1"/>
        <v>40</v>
      </c>
      <c r="L5" s="31">
        <v>1</v>
      </c>
      <c r="M5" s="31">
        <v>3</v>
      </c>
      <c r="N5" s="31">
        <v>0.2</v>
      </c>
      <c r="O5" s="31">
        <f t="shared" si="0"/>
        <v>24</v>
      </c>
      <c r="P5" s="31"/>
      <c r="Q5" s="31"/>
      <c r="R5" s="31"/>
      <c r="S5" s="31"/>
      <c r="T5" s="32">
        <f>O5</f>
        <v>24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ht="29" x14ac:dyDescent="0.35">
      <c r="A6" s="26">
        <v>5</v>
      </c>
      <c r="B6" s="26" t="s">
        <v>1264</v>
      </c>
      <c r="C6" s="26" t="s">
        <v>1302</v>
      </c>
      <c r="D6" s="27" t="s">
        <v>1229</v>
      </c>
      <c r="E6" s="26">
        <v>10</v>
      </c>
      <c r="F6" s="26">
        <v>10</v>
      </c>
      <c r="G6" s="26">
        <v>3</v>
      </c>
      <c r="H6" s="26" t="s">
        <v>1278</v>
      </c>
      <c r="I6" s="31">
        <v>1</v>
      </c>
      <c r="J6" s="31">
        <v>1</v>
      </c>
      <c r="K6" s="31">
        <f>(E6+F6)*2</f>
        <v>40</v>
      </c>
      <c r="L6" s="31">
        <v>1</v>
      </c>
      <c r="M6" s="31">
        <v>3</v>
      </c>
      <c r="N6" s="31"/>
      <c r="O6" s="31">
        <f t="shared" si="0"/>
        <v>120</v>
      </c>
      <c r="P6" s="31"/>
      <c r="Q6" s="31"/>
      <c r="R6" s="31"/>
      <c r="S6" s="31"/>
      <c r="T6" s="26"/>
      <c r="U6" s="26"/>
      <c r="V6" s="26"/>
      <c r="W6" s="26"/>
      <c r="X6" s="26"/>
      <c r="Y6" s="26"/>
      <c r="Z6" s="26"/>
      <c r="AA6" s="26"/>
      <c r="AB6" s="26"/>
      <c r="AC6" s="32">
        <f>O6</f>
        <v>120</v>
      </c>
      <c r="AD6" s="26"/>
      <c r="AE6" s="26"/>
      <c r="AF6" s="26"/>
      <c r="AG6" s="26"/>
      <c r="AH6" s="26"/>
      <c r="AI6" s="26"/>
      <c r="AJ6" s="26"/>
      <c r="AK6" s="26"/>
    </row>
    <row r="7" spans="1:37" x14ac:dyDescent="0.35">
      <c r="A7" s="26">
        <v>6</v>
      </c>
      <c r="B7" s="26" t="s">
        <v>1264</v>
      </c>
      <c r="C7" s="26" t="s">
        <v>1302</v>
      </c>
      <c r="D7" s="27" t="s">
        <v>1310</v>
      </c>
      <c r="E7" s="26">
        <v>10</v>
      </c>
      <c r="F7" s="26">
        <v>10</v>
      </c>
      <c r="G7" s="26">
        <v>3</v>
      </c>
      <c r="H7" s="26" t="s">
        <v>1310</v>
      </c>
      <c r="I7" s="31">
        <v>1</v>
      </c>
      <c r="J7" s="31">
        <v>1</v>
      </c>
      <c r="K7" s="31">
        <f>E7</f>
        <v>10</v>
      </c>
      <c r="L7" s="31">
        <f>F7</f>
        <v>10</v>
      </c>
      <c r="M7" s="31"/>
      <c r="N7" s="31"/>
      <c r="O7" s="31">
        <f t="shared" si="0"/>
        <v>100</v>
      </c>
      <c r="P7" s="31"/>
      <c r="Q7" s="31"/>
      <c r="R7" s="31"/>
      <c r="S7" s="31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32">
        <f>O7</f>
        <v>100</v>
      </c>
      <c r="AG7" s="26"/>
      <c r="AH7" s="26"/>
      <c r="AI7" s="26"/>
      <c r="AJ7" s="26"/>
      <c r="AK7" s="26"/>
    </row>
    <row r="8" spans="1:37" x14ac:dyDescent="0.35">
      <c r="A8" s="26">
        <v>7</v>
      </c>
      <c r="B8" s="26" t="s">
        <v>1264</v>
      </c>
      <c r="C8" s="26" t="s">
        <v>1302</v>
      </c>
      <c r="D8" s="27" t="s">
        <v>1309</v>
      </c>
      <c r="E8" s="26">
        <v>10</v>
      </c>
      <c r="F8" s="26">
        <v>10</v>
      </c>
      <c r="G8" s="26">
        <v>3</v>
      </c>
      <c r="H8" s="26" t="s">
        <v>1309</v>
      </c>
      <c r="I8" s="31">
        <v>1</v>
      </c>
      <c r="J8" s="31">
        <v>1</v>
      </c>
      <c r="K8" s="31">
        <f>E8</f>
        <v>10</v>
      </c>
      <c r="L8" s="31">
        <f>F8</f>
        <v>10</v>
      </c>
      <c r="M8" s="31"/>
      <c r="N8" s="31"/>
      <c r="O8" s="31">
        <f t="shared" si="0"/>
        <v>100</v>
      </c>
      <c r="P8" s="31"/>
      <c r="Q8" s="31"/>
      <c r="R8" s="31"/>
      <c r="S8" s="31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32">
        <f>O8</f>
        <v>100</v>
      </c>
      <c r="AH8" s="26"/>
      <c r="AI8" s="26"/>
      <c r="AJ8" s="26"/>
      <c r="AK8" s="26"/>
    </row>
    <row r="9" spans="1:37" ht="29" x14ac:dyDescent="0.35">
      <c r="A9" s="26">
        <v>8</v>
      </c>
      <c r="B9" s="26" t="s">
        <v>1264</v>
      </c>
      <c r="C9" s="26" t="s">
        <v>1303</v>
      </c>
      <c r="D9" s="27" t="s">
        <v>1282</v>
      </c>
      <c r="E9" s="26">
        <v>10</v>
      </c>
      <c r="F9" s="26">
        <v>10</v>
      </c>
      <c r="G9" s="26">
        <v>3</v>
      </c>
      <c r="H9" s="26" t="s">
        <v>1278</v>
      </c>
      <c r="I9" s="31">
        <v>1</v>
      </c>
      <c r="J9" s="31">
        <v>1</v>
      </c>
      <c r="K9" s="31">
        <f t="shared" si="1"/>
        <v>40</v>
      </c>
      <c r="L9" s="31">
        <v>1</v>
      </c>
      <c r="M9" s="31">
        <v>3</v>
      </c>
      <c r="N9" s="31">
        <v>0.25</v>
      </c>
      <c r="O9" s="31">
        <f t="shared" si="0"/>
        <v>30</v>
      </c>
      <c r="P9" s="31"/>
      <c r="Q9" s="31"/>
      <c r="R9" s="31"/>
      <c r="S9" s="31"/>
      <c r="T9" s="32">
        <f>O9</f>
        <v>30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 spans="1:37" ht="29" x14ac:dyDescent="0.35">
      <c r="A10" s="26">
        <v>9</v>
      </c>
      <c r="B10" s="26" t="s">
        <v>1264</v>
      </c>
      <c r="C10" s="26" t="s">
        <v>1303</v>
      </c>
      <c r="D10" s="27" t="s">
        <v>1283</v>
      </c>
      <c r="E10" s="26">
        <v>10</v>
      </c>
      <c r="F10" s="26">
        <v>10</v>
      </c>
      <c r="G10" s="26">
        <v>3</v>
      </c>
      <c r="H10" s="26" t="s">
        <v>1278</v>
      </c>
      <c r="I10" s="31">
        <v>1</v>
      </c>
      <c r="J10" s="31">
        <v>1</v>
      </c>
      <c r="K10" s="31">
        <f t="shared" si="1"/>
        <v>40</v>
      </c>
      <c r="L10" s="31">
        <v>1</v>
      </c>
      <c r="M10" s="31">
        <v>3</v>
      </c>
      <c r="N10" s="31">
        <v>0.3</v>
      </c>
      <c r="O10" s="31">
        <f t="shared" si="0"/>
        <v>36</v>
      </c>
      <c r="P10" s="31"/>
      <c r="Q10" s="31"/>
      <c r="R10" s="31"/>
      <c r="S10" s="31"/>
      <c r="T10" s="32">
        <f>O10</f>
        <v>36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</row>
    <row r="11" spans="1:37" x14ac:dyDescent="0.35">
      <c r="A11" s="26">
        <v>10</v>
      </c>
      <c r="B11" s="26" t="s">
        <v>1264</v>
      </c>
      <c r="C11" s="26" t="s">
        <v>1303</v>
      </c>
      <c r="D11" s="27" t="s">
        <v>1310</v>
      </c>
      <c r="E11" s="26">
        <v>10</v>
      </c>
      <c r="F11" s="26">
        <v>10</v>
      </c>
      <c r="G11" s="26">
        <v>3</v>
      </c>
      <c r="H11" s="26" t="s">
        <v>1310</v>
      </c>
      <c r="I11" s="31">
        <v>1</v>
      </c>
      <c r="J11" s="31">
        <v>1</v>
      </c>
      <c r="K11" s="31">
        <f>E11</f>
        <v>10</v>
      </c>
      <c r="L11" s="31">
        <f>F11</f>
        <v>10</v>
      </c>
      <c r="M11" s="31"/>
      <c r="N11" s="31"/>
      <c r="O11" s="31">
        <f t="shared" si="0"/>
        <v>100</v>
      </c>
      <c r="P11" s="31"/>
      <c r="Q11" s="31"/>
      <c r="R11" s="31"/>
      <c r="S11" s="31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32">
        <f>O11</f>
        <v>100</v>
      </c>
      <c r="AG11" s="26"/>
      <c r="AH11" s="26"/>
      <c r="AI11" s="26"/>
      <c r="AJ11" s="26"/>
      <c r="AK11" s="26"/>
    </row>
    <row r="12" spans="1:37" x14ac:dyDescent="0.35">
      <c r="A12" s="26">
        <v>11</v>
      </c>
      <c r="B12" s="26" t="s">
        <v>1264</v>
      </c>
      <c r="C12" s="26" t="s">
        <v>1303</v>
      </c>
      <c r="D12" s="27" t="s">
        <v>1309</v>
      </c>
      <c r="E12" s="26">
        <v>10</v>
      </c>
      <c r="F12" s="26">
        <v>10</v>
      </c>
      <c r="G12" s="26">
        <v>3</v>
      </c>
      <c r="H12" s="26" t="s">
        <v>1309</v>
      </c>
      <c r="I12" s="31">
        <v>1</v>
      </c>
      <c r="J12" s="31">
        <v>1</v>
      </c>
      <c r="K12" s="31">
        <f>E12</f>
        <v>10</v>
      </c>
      <c r="L12" s="31">
        <f>F12</f>
        <v>10</v>
      </c>
      <c r="M12" s="31"/>
      <c r="N12" s="31"/>
      <c r="O12" s="31">
        <f t="shared" si="0"/>
        <v>100</v>
      </c>
      <c r="P12" s="31"/>
      <c r="Q12" s="31"/>
      <c r="R12" s="31"/>
      <c r="S12" s="31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32">
        <f>O12</f>
        <v>100</v>
      </c>
      <c r="AH12" s="26"/>
      <c r="AI12" s="26"/>
      <c r="AJ12" s="26"/>
      <c r="AK12" s="26"/>
    </row>
    <row r="13" spans="1:37" ht="29" x14ac:dyDescent="0.35">
      <c r="A13" s="26">
        <v>12</v>
      </c>
      <c r="B13" s="26" t="s">
        <v>1264</v>
      </c>
      <c r="C13" s="26" t="s">
        <v>1304</v>
      </c>
      <c r="D13" s="27" t="s">
        <v>1284</v>
      </c>
      <c r="E13" s="26">
        <v>10</v>
      </c>
      <c r="F13" s="26">
        <v>10</v>
      </c>
      <c r="G13" s="26">
        <v>3</v>
      </c>
      <c r="H13" s="26" t="s">
        <v>1278</v>
      </c>
      <c r="I13" s="31">
        <v>1</v>
      </c>
      <c r="J13" s="31">
        <v>1</v>
      </c>
      <c r="K13" s="31">
        <f t="shared" si="1"/>
        <v>40</v>
      </c>
      <c r="L13" s="31">
        <v>1</v>
      </c>
      <c r="M13" s="31">
        <v>3</v>
      </c>
      <c r="N13" s="31">
        <v>0.1</v>
      </c>
      <c r="O13" s="31">
        <f t="shared" si="0"/>
        <v>12</v>
      </c>
      <c r="P13" s="31"/>
      <c r="Q13" s="31"/>
      <c r="R13" s="31"/>
      <c r="S13" s="31"/>
      <c r="T13" s="26"/>
      <c r="U13" s="32">
        <f>O13</f>
        <v>12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</row>
    <row r="14" spans="1:37" ht="29" x14ac:dyDescent="0.35">
      <c r="A14" s="26">
        <v>13</v>
      </c>
      <c r="B14" s="26" t="s">
        <v>1264</v>
      </c>
      <c r="C14" s="26" t="s">
        <v>1304</v>
      </c>
      <c r="D14" s="27" t="s">
        <v>1285</v>
      </c>
      <c r="E14" s="26">
        <v>10</v>
      </c>
      <c r="F14" s="26">
        <v>10</v>
      </c>
      <c r="G14" s="26">
        <v>3</v>
      </c>
      <c r="H14" s="26" t="s">
        <v>1278</v>
      </c>
      <c r="I14" s="31">
        <v>1</v>
      </c>
      <c r="J14" s="31">
        <v>1</v>
      </c>
      <c r="K14" s="31">
        <f t="shared" si="1"/>
        <v>40</v>
      </c>
      <c r="L14" s="31">
        <v>1</v>
      </c>
      <c r="M14" s="31">
        <v>3</v>
      </c>
      <c r="N14" s="31">
        <v>0.15</v>
      </c>
      <c r="O14" s="31">
        <f t="shared" si="0"/>
        <v>18</v>
      </c>
      <c r="P14" s="31"/>
      <c r="Q14" s="31"/>
      <c r="R14" s="31"/>
      <c r="S14" s="31"/>
      <c r="T14" s="26"/>
      <c r="U14" s="32">
        <f>O14</f>
        <v>18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</row>
    <row r="15" spans="1:37" ht="29" x14ac:dyDescent="0.35">
      <c r="A15" s="26">
        <v>14</v>
      </c>
      <c r="B15" s="26" t="s">
        <v>1264</v>
      </c>
      <c r="C15" s="26" t="s">
        <v>1304</v>
      </c>
      <c r="D15" s="27" t="s">
        <v>1286</v>
      </c>
      <c r="E15" s="26">
        <v>10</v>
      </c>
      <c r="F15" s="26">
        <v>10</v>
      </c>
      <c r="G15" s="26">
        <v>3</v>
      </c>
      <c r="H15" s="26" t="s">
        <v>1278</v>
      </c>
      <c r="I15" s="31">
        <v>1</v>
      </c>
      <c r="J15" s="31">
        <v>1</v>
      </c>
      <c r="K15" s="31">
        <f t="shared" si="1"/>
        <v>40</v>
      </c>
      <c r="L15" s="31">
        <v>1</v>
      </c>
      <c r="M15" s="31">
        <v>3</v>
      </c>
      <c r="N15" s="31">
        <v>0.2</v>
      </c>
      <c r="O15" s="31">
        <f t="shared" si="0"/>
        <v>24</v>
      </c>
      <c r="P15" s="31"/>
      <c r="Q15" s="31"/>
      <c r="R15" s="31"/>
      <c r="S15" s="31"/>
      <c r="T15" s="26"/>
      <c r="U15" s="32">
        <f>O15</f>
        <v>24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</row>
    <row r="16" spans="1:37" ht="29" x14ac:dyDescent="0.35">
      <c r="A16" s="26">
        <v>15</v>
      </c>
      <c r="B16" s="26" t="s">
        <v>1264</v>
      </c>
      <c r="C16" s="26" t="s">
        <v>1304</v>
      </c>
      <c r="D16" s="27" t="s">
        <v>1287</v>
      </c>
      <c r="E16" s="26">
        <v>10</v>
      </c>
      <c r="F16" s="26">
        <v>10</v>
      </c>
      <c r="G16" s="26">
        <v>3</v>
      </c>
      <c r="H16" s="26" t="s">
        <v>1278</v>
      </c>
      <c r="I16" s="31">
        <v>1</v>
      </c>
      <c r="J16" s="31">
        <v>1</v>
      </c>
      <c r="K16" s="31">
        <f t="shared" si="1"/>
        <v>40</v>
      </c>
      <c r="L16" s="31">
        <v>1</v>
      </c>
      <c r="M16" s="31">
        <v>3</v>
      </c>
      <c r="N16" s="31">
        <v>0.25</v>
      </c>
      <c r="O16" s="31">
        <f t="shared" si="0"/>
        <v>30</v>
      </c>
      <c r="P16" s="31"/>
      <c r="Q16" s="31"/>
      <c r="R16" s="31"/>
      <c r="S16" s="31"/>
      <c r="T16" s="26"/>
      <c r="U16" s="32">
        <f>O16</f>
        <v>30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</row>
    <row r="17" spans="1:37" ht="29" x14ac:dyDescent="0.35">
      <c r="A17" s="26">
        <v>16</v>
      </c>
      <c r="B17" s="26" t="s">
        <v>1264</v>
      </c>
      <c r="C17" s="26" t="s">
        <v>1304</v>
      </c>
      <c r="D17" s="27" t="s">
        <v>1288</v>
      </c>
      <c r="E17" s="26">
        <v>10</v>
      </c>
      <c r="F17" s="26">
        <v>10</v>
      </c>
      <c r="G17" s="26">
        <v>3</v>
      </c>
      <c r="H17" s="26" t="s">
        <v>1278</v>
      </c>
      <c r="I17" s="31">
        <v>1</v>
      </c>
      <c r="J17" s="31">
        <v>1</v>
      </c>
      <c r="K17" s="31">
        <f t="shared" si="1"/>
        <v>40</v>
      </c>
      <c r="L17" s="31">
        <v>1</v>
      </c>
      <c r="M17" s="31">
        <v>3</v>
      </c>
      <c r="N17" s="31">
        <v>0.3</v>
      </c>
      <c r="O17" s="31">
        <f t="shared" si="0"/>
        <v>36</v>
      </c>
      <c r="P17" s="31"/>
      <c r="Q17" s="31"/>
      <c r="R17" s="31"/>
      <c r="S17" s="31"/>
      <c r="T17" s="26"/>
      <c r="U17" s="32">
        <f>O17</f>
        <v>36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</row>
    <row r="18" spans="1:37" x14ac:dyDescent="0.35">
      <c r="A18" s="26">
        <v>17</v>
      </c>
      <c r="B18" s="26" t="s">
        <v>1264</v>
      </c>
      <c r="C18" s="26" t="s">
        <v>1304</v>
      </c>
      <c r="D18" s="27" t="s">
        <v>1310</v>
      </c>
      <c r="E18" s="26">
        <v>10</v>
      </c>
      <c r="F18" s="26">
        <v>10</v>
      </c>
      <c r="G18" s="26">
        <v>3</v>
      </c>
      <c r="H18" s="26" t="s">
        <v>1310</v>
      </c>
      <c r="I18" s="31">
        <v>1</v>
      </c>
      <c r="J18" s="31">
        <v>1</v>
      </c>
      <c r="K18" s="31">
        <f>E18</f>
        <v>10</v>
      </c>
      <c r="L18" s="31">
        <f>F18</f>
        <v>10</v>
      </c>
      <c r="M18" s="31"/>
      <c r="N18" s="31"/>
      <c r="O18" s="31">
        <f t="shared" si="0"/>
        <v>100</v>
      </c>
      <c r="P18" s="31"/>
      <c r="Q18" s="31"/>
      <c r="R18" s="31"/>
      <c r="S18" s="31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32">
        <f>O18</f>
        <v>100</v>
      </c>
      <c r="AG18" s="26"/>
      <c r="AH18" s="26"/>
      <c r="AI18" s="26"/>
      <c r="AJ18" s="26"/>
      <c r="AK18" s="26"/>
    </row>
    <row r="19" spans="1:37" x14ac:dyDescent="0.35">
      <c r="A19" s="26">
        <v>18</v>
      </c>
      <c r="B19" s="26" t="s">
        <v>1264</v>
      </c>
      <c r="C19" s="26" t="s">
        <v>1304</v>
      </c>
      <c r="D19" s="27" t="s">
        <v>1309</v>
      </c>
      <c r="E19" s="26">
        <v>10</v>
      </c>
      <c r="F19" s="26">
        <v>10</v>
      </c>
      <c r="G19" s="26">
        <v>3</v>
      </c>
      <c r="H19" s="26" t="s">
        <v>1309</v>
      </c>
      <c r="I19" s="31">
        <v>1</v>
      </c>
      <c r="J19" s="31">
        <v>1</v>
      </c>
      <c r="K19" s="31">
        <f>E19</f>
        <v>10</v>
      </c>
      <c r="L19" s="31">
        <f>F19</f>
        <v>10</v>
      </c>
      <c r="M19" s="31"/>
      <c r="N19" s="31"/>
      <c r="O19" s="31">
        <f t="shared" si="0"/>
        <v>100</v>
      </c>
      <c r="P19" s="31"/>
      <c r="Q19" s="31"/>
      <c r="R19" s="31"/>
      <c r="S19" s="31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32">
        <f>O19</f>
        <v>100</v>
      </c>
      <c r="AH19" s="26"/>
      <c r="AI19" s="26"/>
      <c r="AJ19" s="26"/>
      <c r="AK19" s="32"/>
    </row>
    <row r="20" spans="1:37" ht="29" x14ac:dyDescent="0.35">
      <c r="A20" s="26">
        <v>19</v>
      </c>
      <c r="B20" s="26" t="s">
        <v>1264</v>
      </c>
      <c r="C20" s="26" t="s">
        <v>1302</v>
      </c>
      <c r="D20" s="27" t="s">
        <v>1311</v>
      </c>
      <c r="E20" s="26">
        <v>10</v>
      </c>
      <c r="F20" s="26">
        <v>10</v>
      </c>
      <c r="G20" s="26">
        <v>3</v>
      </c>
      <c r="H20" s="26" t="s">
        <v>1278</v>
      </c>
      <c r="I20" s="31">
        <v>1</v>
      </c>
      <c r="J20" s="31">
        <v>1</v>
      </c>
      <c r="K20" s="31">
        <v>40</v>
      </c>
      <c r="L20" s="31">
        <v>1</v>
      </c>
      <c r="M20" s="31">
        <v>3</v>
      </c>
      <c r="N20" s="31"/>
      <c r="O20" s="31">
        <f t="shared" si="0"/>
        <v>120</v>
      </c>
      <c r="P20" s="31"/>
      <c r="Q20" s="31"/>
      <c r="R20" s="31"/>
      <c r="S20" s="31"/>
      <c r="T20" s="32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2">
        <f>O20</f>
        <v>120</v>
      </c>
    </row>
    <row r="21" spans="1:37" ht="29" x14ac:dyDescent="0.35">
      <c r="A21" s="26">
        <v>20</v>
      </c>
      <c r="B21" s="26" t="s">
        <v>1264</v>
      </c>
      <c r="C21" s="26" t="s">
        <v>1303</v>
      </c>
      <c r="D21" s="27" t="s">
        <v>1311</v>
      </c>
      <c r="E21" s="26">
        <v>10</v>
      </c>
      <c r="F21" s="26">
        <v>10</v>
      </c>
      <c r="G21" s="26">
        <v>3</v>
      </c>
      <c r="H21" s="26" t="s">
        <v>1278</v>
      </c>
      <c r="I21" s="31">
        <v>1</v>
      </c>
      <c r="J21" s="31">
        <v>1</v>
      </c>
      <c r="K21" s="31">
        <v>40</v>
      </c>
      <c r="L21" s="31">
        <v>1</v>
      </c>
      <c r="M21" s="31">
        <v>3</v>
      </c>
      <c r="N21" s="31"/>
      <c r="O21" s="31">
        <f t="shared" si="0"/>
        <v>120</v>
      </c>
      <c r="P21" s="31"/>
      <c r="Q21" s="31"/>
      <c r="R21" s="31"/>
      <c r="S21" s="31"/>
      <c r="T21" s="32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32">
        <f>O21</f>
        <v>120</v>
      </c>
    </row>
    <row r="22" spans="1:37" ht="29" x14ac:dyDescent="0.35">
      <c r="A22" s="26">
        <v>21</v>
      </c>
      <c r="B22" s="26" t="s">
        <v>1264</v>
      </c>
      <c r="C22" s="26" t="s">
        <v>1304</v>
      </c>
      <c r="D22" s="27" t="s">
        <v>1311</v>
      </c>
      <c r="E22" s="26">
        <v>10</v>
      </c>
      <c r="F22" s="26">
        <v>10</v>
      </c>
      <c r="G22" s="26">
        <v>3</v>
      </c>
      <c r="H22" s="26" t="s">
        <v>1278</v>
      </c>
      <c r="I22" s="31">
        <v>1</v>
      </c>
      <c r="J22" s="31">
        <v>1</v>
      </c>
      <c r="K22" s="31">
        <v>40</v>
      </c>
      <c r="L22" s="31">
        <v>1</v>
      </c>
      <c r="M22" s="31">
        <v>3</v>
      </c>
      <c r="N22" s="31"/>
      <c r="O22" s="31">
        <f t="shared" si="0"/>
        <v>120</v>
      </c>
      <c r="P22" s="31"/>
      <c r="Q22" s="31"/>
      <c r="R22" s="31"/>
      <c r="S22" s="31"/>
      <c r="T22" s="26"/>
      <c r="U22" s="32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32">
        <f>O22</f>
        <v>120</v>
      </c>
    </row>
    <row r="23" spans="1:37" ht="29" x14ac:dyDescent="0.35">
      <c r="A23" s="26">
        <v>22</v>
      </c>
      <c r="B23" s="26" t="s">
        <v>1264</v>
      </c>
      <c r="C23" s="26" t="s">
        <v>1302</v>
      </c>
      <c r="D23" s="27" t="s">
        <v>1279</v>
      </c>
      <c r="E23" s="26"/>
      <c r="F23" s="26"/>
      <c r="G23" s="26"/>
      <c r="H23" s="26" t="s">
        <v>1276</v>
      </c>
      <c r="I23" s="31">
        <v>10</v>
      </c>
      <c r="J23" s="31">
        <v>-1</v>
      </c>
      <c r="K23" s="31">
        <v>1</v>
      </c>
      <c r="L23" s="31"/>
      <c r="M23" s="31">
        <v>2</v>
      </c>
      <c r="N23" s="31">
        <v>0.1</v>
      </c>
      <c r="O23" s="31">
        <f t="shared" si="0"/>
        <v>-2</v>
      </c>
      <c r="P23" s="31"/>
      <c r="Q23" s="31"/>
      <c r="R23" s="31"/>
      <c r="S23" s="31"/>
      <c r="T23" s="32">
        <f>O23</f>
        <v>-2</v>
      </c>
      <c r="U23" s="26"/>
      <c r="V23" s="26"/>
      <c r="W23" s="26"/>
      <c r="X23" s="26"/>
      <c r="Y23" s="26"/>
      <c r="Z23" s="26"/>
      <c r="AA23" s="26"/>
      <c r="AB23" s="26"/>
      <c r="AC23" s="32">
        <f>O23</f>
        <v>-2</v>
      </c>
      <c r="AD23" s="26"/>
      <c r="AE23" s="26"/>
      <c r="AF23" s="26"/>
      <c r="AG23" s="26"/>
      <c r="AH23" s="26"/>
      <c r="AI23" s="32"/>
      <c r="AJ23" s="26"/>
      <c r="AK23" s="26"/>
    </row>
    <row r="24" spans="1:37" ht="29" x14ac:dyDescent="0.35">
      <c r="A24" s="26">
        <v>23</v>
      </c>
      <c r="B24" s="26" t="s">
        <v>1264</v>
      </c>
      <c r="C24" s="26" t="s">
        <v>1302</v>
      </c>
      <c r="D24" s="27" t="s">
        <v>1280</v>
      </c>
      <c r="E24" s="26"/>
      <c r="F24" s="26"/>
      <c r="G24" s="26"/>
      <c r="H24" s="26" t="s">
        <v>1276</v>
      </c>
      <c r="I24" s="31">
        <v>10</v>
      </c>
      <c r="J24" s="31">
        <v>-1</v>
      </c>
      <c r="K24" s="31">
        <v>1</v>
      </c>
      <c r="L24" s="31"/>
      <c r="M24" s="31">
        <v>2</v>
      </c>
      <c r="N24" s="31">
        <v>0.15</v>
      </c>
      <c r="O24" s="31">
        <f t="shared" si="0"/>
        <v>-3</v>
      </c>
      <c r="P24" s="31"/>
      <c r="Q24" s="31"/>
      <c r="R24" s="31"/>
      <c r="S24" s="31"/>
      <c r="T24" s="32">
        <f>O24</f>
        <v>-3</v>
      </c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32"/>
      <c r="AJ24" s="26"/>
      <c r="AK24" s="26"/>
    </row>
    <row r="25" spans="1:37" ht="29" x14ac:dyDescent="0.35">
      <c r="A25" s="26">
        <v>24</v>
      </c>
      <c r="B25" s="26" t="s">
        <v>1264</v>
      </c>
      <c r="C25" s="26" t="s">
        <v>1302</v>
      </c>
      <c r="D25" s="27" t="s">
        <v>1281</v>
      </c>
      <c r="E25" s="26"/>
      <c r="F25" s="26"/>
      <c r="G25" s="26"/>
      <c r="H25" s="26" t="s">
        <v>1276</v>
      </c>
      <c r="I25" s="31">
        <v>10</v>
      </c>
      <c r="J25" s="31">
        <v>-1</v>
      </c>
      <c r="K25" s="31">
        <v>1</v>
      </c>
      <c r="L25" s="31"/>
      <c r="M25" s="31">
        <v>2</v>
      </c>
      <c r="N25" s="31">
        <v>0.2</v>
      </c>
      <c r="O25" s="31">
        <f t="shared" si="0"/>
        <v>-4</v>
      </c>
      <c r="P25" s="31"/>
      <c r="Q25" s="31"/>
      <c r="R25" s="31"/>
      <c r="S25" s="31"/>
      <c r="T25" s="32">
        <f>O25</f>
        <v>-4</v>
      </c>
      <c r="U25" s="26"/>
      <c r="V25" s="26"/>
      <c r="W25" s="26"/>
      <c r="X25" s="26"/>
      <c r="Y25" s="26"/>
      <c r="Z25" s="26"/>
      <c r="AA25" s="26"/>
      <c r="AB25" s="26"/>
      <c r="AC25" s="32">
        <f>O25</f>
        <v>-4</v>
      </c>
      <c r="AD25" s="26"/>
      <c r="AE25" s="26"/>
      <c r="AF25" s="26"/>
      <c r="AG25" s="26"/>
      <c r="AH25" s="26"/>
      <c r="AI25" s="32"/>
      <c r="AJ25" s="26"/>
      <c r="AK25" s="26"/>
    </row>
    <row r="26" spans="1:37" ht="29" x14ac:dyDescent="0.35">
      <c r="A26" s="26">
        <v>25</v>
      </c>
      <c r="B26" s="26" t="s">
        <v>1264</v>
      </c>
      <c r="C26" s="26" t="s">
        <v>1303</v>
      </c>
      <c r="D26" s="27" t="s">
        <v>1282</v>
      </c>
      <c r="E26" s="26"/>
      <c r="F26" s="26"/>
      <c r="G26" s="26"/>
      <c r="H26" s="26" t="s">
        <v>1276</v>
      </c>
      <c r="I26" s="31">
        <v>10</v>
      </c>
      <c r="J26" s="31">
        <v>-1</v>
      </c>
      <c r="K26" s="31">
        <v>1</v>
      </c>
      <c r="L26" s="31"/>
      <c r="M26" s="31">
        <v>2</v>
      </c>
      <c r="N26" s="31">
        <v>0.25</v>
      </c>
      <c r="O26" s="31">
        <f t="shared" si="0"/>
        <v>-5</v>
      </c>
      <c r="P26" s="31"/>
      <c r="Q26" s="31"/>
      <c r="R26" s="31"/>
      <c r="S26" s="31"/>
      <c r="T26" s="32">
        <f>O26</f>
        <v>-5</v>
      </c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32"/>
      <c r="AJ26" s="26"/>
      <c r="AK26" s="26"/>
    </row>
    <row r="27" spans="1:37" ht="29" x14ac:dyDescent="0.35">
      <c r="A27" s="26">
        <v>26</v>
      </c>
      <c r="B27" s="26" t="s">
        <v>1264</v>
      </c>
      <c r="C27" s="26" t="s">
        <v>1303</v>
      </c>
      <c r="D27" s="27" t="s">
        <v>1283</v>
      </c>
      <c r="E27" s="26"/>
      <c r="F27" s="26"/>
      <c r="G27" s="26"/>
      <c r="H27" s="26" t="s">
        <v>1276</v>
      </c>
      <c r="I27" s="31">
        <v>10</v>
      </c>
      <c r="J27" s="31">
        <v>-1</v>
      </c>
      <c r="K27" s="31">
        <v>1</v>
      </c>
      <c r="L27" s="31"/>
      <c r="M27" s="31">
        <v>2</v>
      </c>
      <c r="N27" s="31">
        <v>0.3</v>
      </c>
      <c r="O27" s="31">
        <f t="shared" si="0"/>
        <v>-6</v>
      </c>
      <c r="P27" s="31"/>
      <c r="Q27" s="31"/>
      <c r="R27" s="31"/>
      <c r="S27" s="31"/>
      <c r="T27" s="32">
        <f>O27</f>
        <v>-6</v>
      </c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32"/>
      <c r="AJ27" s="26"/>
      <c r="AK27" s="26"/>
    </row>
    <row r="28" spans="1:37" ht="29" x14ac:dyDescent="0.35">
      <c r="A28" s="26">
        <v>27</v>
      </c>
      <c r="B28" s="26" t="s">
        <v>1264</v>
      </c>
      <c r="C28" s="26" t="s">
        <v>1304</v>
      </c>
      <c r="D28" s="27" t="s">
        <v>1284</v>
      </c>
      <c r="E28" s="26"/>
      <c r="F28" s="26"/>
      <c r="G28" s="26"/>
      <c r="H28" s="26" t="s">
        <v>1276</v>
      </c>
      <c r="I28" s="31">
        <v>10</v>
      </c>
      <c r="J28" s="31">
        <v>-1</v>
      </c>
      <c r="K28" s="31">
        <v>1</v>
      </c>
      <c r="L28" s="31"/>
      <c r="M28" s="31">
        <v>2</v>
      </c>
      <c r="N28" s="31">
        <v>0.1</v>
      </c>
      <c r="O28" s="31">
        <f t="shared" si="0"/>
        <v>-2</v>
      </c>
      <c r="P28" s="31"/>
      <c r="Q28" s="31"/>
      <c r="R28" s="31"/>
      <c r="S28" s="31"/>
      <c r="T28" s="26"/>
      <c r="U28" s="32">
        <f>O28</f>
        <v>-2</v>
      </c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32"/>
      <c r="AJ28" s="26"/>
      <c r="AK28" s="26"/>
    </row>
    <row r="29" spans="1:37" ht="29" x14ac:dyDescent="0.35">
      <c r="A29" s="26">
        <v>28</v>
      </c>
      <c r="B29" s="26" t="s">
        <v>1264</v>
      </c>
      <c r="C29" s="26" t="s">
        <v>1304</v>
      </c>
      <c r="D29" s="27" t="s">
        <v>1285</v>
      </c>
      <c r="E29" s="26"/>
      <c r="F29" s="26"/>
      <c r="G29" s="26"/>
      <c r="H29" s="26" t="s">
        <v>1276</v>
      </c>
      <c r="I29" s="31">
        <v>10</v>
      </c>
      <c r="J29" s="31">
        <v>-1</v>
      </c>
      <c r="K29" s="31">
        <v>1</v>
      </c>
      <c r="L29" s="31"/>
      <c r="M29" s="31">
        <v>2</v>
      </c>
      <c r="N29" s="31">
        <v>0.15</v>
      </c>
      <c r="O29" s="31">
        <f t="shared" si="0"/>
        <v>-3</v>
      </c>
      <c r="P29" s="31"/>
      <c r="Q29" s="31"/>
      <c r="R29" s="31"/>
      <c r="S29" s="31"/>
      <c r="T29" s="26"/>
      <c r="U29" s="32">
        <f>O29</f>
        <v>-3</v>
      </c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32"/>
      <c r="AJ29" s="26"/>
      <c r="AK29" s="26"/>
    </row>
    <row r="30" spans="1:37" ht="29" x14ac:dyDescent="0.35">
      <c r="A30" s="26">
        <v>29</v>
      </c>
      <c r="B30" s="26" t="s">
        <v>1264</v>
      </c>
      <c r="C30" s="26" t="s">
        <v>1304</v>
      </c>
      <c r="D30" s="27" t="s">
        <v>1286</v>
      </c>
      <c r="E30" s="26"/>
      <c r="F30" s="26"/>
      <c r="G30" s="26"/>
      <c r="H30" s="26" t="s">
        <v>1276</v>
      </c>
      <c r="I30" s="31">
        <v>10</v>
      </c>
      <c r="J30" s="31">
        <v>-1</v>
      </c>
      <c r="K30" s="31">
        <v>1</v>
      </c>
      <c r="L30" s="31"/>
      <c r="M30" s="31">
        <v>2</v>
      </c>
      <c r="N30" s="31">
        <v>0.2</v>
      </c>
      <c r="O30" s="31">
        <f t="shared" si="0"/>
        <v>-4</v>
      </c>
      <c r="P30" s="31"/>
      <c r="Q30" s="31"/>
      <c r="R30" s="31"/>
      <c r="S30" s="31"/>
      <c r="T30" s="26"/>
      <c r="U30" s="32">
        <f>O30</f>
        <v>-4</v>
      </c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32"/>
      <c r="AJ30" s="26"/>
      <c r="AK30" s="26"/>
    </row>
    <row r="31" spans="1:37" ht="29" x14ac:dyDescent="0.35">
      <c r="A31" s="26">
        <v>30</v>
      </c>
      <c r="B31" s="26" t="s">
        <v>1264</v>
      </c>
      <c r="C31" s="26" t="s">
        <v>1304</v>
      </c>
      <c r="D31" s="27" t="s">
        <v>1287</v>
      </c>
      <c r="E31" s="26"/>
      <c r="F31" s="26"/>
      <c r="G31" s="26"/>
      <c r="H31" s="26" t="s">
        <v>1276</v>
      </c>
      <c r="I31" s="31">
        <v>10</v>
      </c>
      <c r="J31" s="31">
        <v>-1</v>
      </c>
      <c r="K31" s="31">
        <v>1</v>
      </c>
      <c r="L31" s="31"/>
      <c r="M31" s="31">
        <v>2</v>
      </c>
      <c r="N31" s="31">
        <v>0.25</v>
      </c>
      <c r="O31" s="31">
        <f t="shared" si="0"/>
        <v>-5</v>
      </c>
      <c r="P31" s="31"/>
      <c r="Q31" s="31"/>
      <c r="R31" s="31"/>
      <c r="S31" s="31"/>
      <c r="T31" s="26"/>
      <c r="U31" s="32">
        <f>O31</f>
        <v>-5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32"/>
      <c r="AJ31" s="26"/>
      <c r="AK31" s="26"/>
    </row>
    <row r="32" spans="1:37" ht="29" x14ac:dyDescent="0.35">
      <c r="A32" s="26">
        <v>31</v>
      </c>
      <c r="B32" s="26" t="s">
        <v>1264</v>
      </c>
      <c r="C32" s="26" t="s">
        <v>1304</v>
      </c>
      <c r="D32" s="27" t="s">
        <v>1288</v>
      </c>
      <c r="E32" s="26"/>
      <c r="F32" s="26"/>
      <c r="G32" s="26"/>
      <c r="H32" s="26" t="s">
        <v>1276</v>
      </c>
      <c r="I32" s="31">
        <v>10</v>
      </c>
      <c r="J32" s="31">
        <v>-1</v>
      </c>
      <c r="K32" s="31">
        <v>1</v>
      </c>
      <c r="L32" s="31"/>
      <c r="M32" s="31">
        <v>2</v>
      </c>
      <c r="N32" s="31">
        <v>0.3</v>
      </c>
      <c r="O32" s="31">
        <f t="shared" si="0"/>
        <v>-6</v>
      </c>
      <c r="P32" s="31"/>
      <c r="Q32" s="31"/>
      <c r="R32" s="31"/>
      <c r="S32" s="31"/>
      <c r="T32" s="26"/>
      <c r="U32" s="32">
        <f>O32</f>
        <v>-6</v>
      </c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32"/>
      <c r="AJ32" s="26"/>
      <c r="AK32" s="26"/>
    </row>
    <row r="33" spans="1:37" ht="29" x14ac:dyDescent="0.35">
      <c r="A33" s="26">
        <v>32</v>
      </c>
      <c r="B33" s="26" t="s">
        <v>1264</v>
      </c>
      <c r="C33" s="26" t="s">
        <v>1302</v>
      </c>
      <c r="D33" s="27" t="s">
        <v>1311</v>
      </c>
      <c r="E33" s="26"/>
      <c r="F33" s="26"/>
      <c r="G33" s="26"/>
      <c r="H33" s="26" t="s">
        <v>1276</v>
      </c>
      <c r="I33" s="31">
        <v>10</v>
      </c>
      <c r="J33" s="31">
        <v>-1</v>
      </c>
      <c r="K33" s="31">
        <v>1</v>
      </c>
      <c r="L33" s="31"/>
      <c r="M33" s="31">
        <v>2</v>
      </c>
      <c r="N33" s="31"/>
      <c r="O33" s="31">
        <f t="shared" si="0"/>
        <v>-20</v>
      </c>
      <c r="P33" s="31"/>
      <c r="Q33" s="31"/>
      <c r="R33" s="31"/>
      <c r="S33" s="31"/>
      <c r="T33" s="26"/>
      <c r="U33" s="32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32">
        <f>I33</f>
        <v>10</v>
      </c>
      <c r="AJ33" s="26"/>
      <c r="AK33" s="32">
        <f t="shared" ref="AK33:AK38" si="2">O33</f>
        <v>-20</v>
      </c>
    </row>
    <row r="34" spans="1:37" ht="29" x14ac:dyDescent="0.35">
      <c r="A34" s="26">
        <v>33</v>
      </c>
      <c r="B34" s="26" t="s">
        <v>1264</v>
      </c>
      <c r="C34" s="26" t="s">
        <v>1303</v>
      </c>
      <c r="D34" s="27" t="s">
        <v>1311</v>
      </c>
      <c r="E34" s="26"/>
      <c r="F34" s="26"/>
      <c r="G34" s="26"/>
      <c r="H34" s="26" t="s">
        <v>1276</v>
      </c>
      <c r="I34" s="31">
        <v>10</v>
      </c>
      <c r="J34" s="31">
        <v>-1</v>
      </c>
      <c r="K34" s="31">
        <v>1</v>
      </c>
      <c r="L34" s="31"/>
      <c r="M34" s="31">
        <v>2</v>
      </c>
      <c r="N34" s="31"/>
      <c r="O34" s="31">
        <f t="shared" ref="O34:O65" si="3">PRODUCT(I34:N34)</f>
        <v>-20</v>
      </c>
      <c r="P34" s="31"/>
      <c r="Q34" s="31"/>
      <c r="R34" s="31"/>
      <c r="S34" s="31"/>
      <c r="T34" s="26"/>
      <c r="U34" s="32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32">
        <f>I34</f>
        <v>10</v>
      </c>
      <c r="AJ34" s="26"/>
      <c r="AK34" s="32">
        <f t="shared" si="2"/>
        <v>-20</v>
      </c>
    </row>
    <row r="35" spans="1:37" ht="29" x14ac:dyDescent="0.35">
      <c r="A35" s="26">
        <v>34</v>
      </c>
      <c r="B35" s="26" t="s">
        <v>1264</v>
      </c>
      <c r="C35" s="26" t="s">
        <v>1304</v>
      </c>
      <c r="D35" s="27" t="s">
        <v>1311</v>
      </c>
      <c r="E35" s="26"/>
      <c r="F35" s="26"/>
      <c r="G35" s="26"/>
      <c r="H35" s="26" t="s">
        <v>1276</v>
      </c>
      <c r="I35" s="31">
        <v>10</v>
      </c>
      <c r="J35" s="31">
        <v>-1</v>
      </c>
      <c r="K35" s="31">
        <v>1</v>
      </c>
      <c r="L35" s="31"/>
      <c r="M35" s="31">
        <v>2</v>
      </c>
      <c r="N35" s="31"/>
      <c r="O35" s="31">
        <f t="shared" si="3"/>
        <v>-20</v>
      </c>
      <c r="P35" s="31"/>
      <c r="Q35" s="31"/>
      <c r="R35" s="31"/>
      <c r="S35" s="31"/>
      <c r="T35" s="26"/>
      <c r="U35" s="32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32">
        <f>I35</f>
        <v>10</v>
      </c>
      <c r="AJ35" s="26"/>
      <c r="AK35" s="32">
        <f t="shared" si="2"/>
        <v>-20</v>
      </c>
    </row>
    <row r="36" spans="1:37" ht="29" x14ac:dyDescent="0.35">
      <c r="A36" s="26">
        <v>35</v>
      </c>
      <c r="B36" s="26" t="s">
        <v>1264</v>
      </c>
      <c r="C36" s="26" t="s">
        <v>1302</v>
      </c>
      <c r="D36" s="27" t="s">
        <v>1311</v>
      </c>
      <c r="E36" s="26"/>
      <c r="F36" s="26"/>
      <c r="G36" s="26"/>
      <c r="H36" s="26" t="s">
        <v>1312</v>
      </c>
      <c r="I36" s="31">
        <v>20</v>
      </c>
      <c r="J36" s="31">
        <v>-1</v>
      </c>
      <c r="K36" s="31">
        <v>1</v>
      </c>
      <c r="L36" s="31"/>
      <c r="M36" s="31">
        <v>1</v>
      </c>
      <c r="N36" s="31"/>
      <c r="O36" s="31">
        <f t="shared" si="3"/>
        <v>-20</v>
      </c>
      <c r="P36" s="31"/>
      <c r="Q36" s="31"/>
      <c r="R36" s="31"/>
      <c r="S36" s="31"/>
      <c r="T36" s="26"/>
      <c r="U36" s="32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32">
        <f>I36</f>
        <v>20</v>
      </c>
      <c r="AK36" s="32">
        <f t="shared" si="2"/>
        <v>-20</v>
      </c>
    </row>
    <row r="37" spans="1:37" ht="29" x14ac:dyDescent="0.35">
      <c r="A37" s="26">
        <v>36</v>
      </c>
      <c r="B37" s="26" t="s">
        <v>1264</v>
      </c>
      <c r="C37" s="26" t="s">
        <v>1303</v>
      </c>
      <c r="D37" s="27" t="s">
        <v>1311</v>
      </c>
      <c r="E37" s="26"/>
      <c r="F37" s="26"/>
      <c r="G37" s="26"/>
      <c r="H37" s="26" t="s">
        <v>1312</v>
      </c>
      <c r="I37" s="31">
        <v>20</v>
      </c>
      <c r="J37" s="31">
        <v>-1</v>
      </c>
      <c r="K37" s="31">
        <v>1</v>
      </c>
      <c r="L37" s="31"/>
      <c r="M37" s="31">
        <v>1</v>
      </c>
      <c r="N37" s="31"/>
      <c r="O37" s="31">
        <f t="shared" si="3"/>
        <v>-20</v>
      </c>
      <c r="P37" s="31"/>
      <c r="Q37" s="31"/>
      <c r="R37" s="31"/>
      <c r="S37" s="31"/>
      <c r="T37" s="26"/>
      <c r="U37" s="32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32">
        <f>I37</f>
        <v>20</v>
      </c>
      <c r="AK37" s="32">
        <f t="shared" si="2"/>
        <v>-20</v>
      </c>
    </row>
    <row r="38" spans="1:37" ht="29" x14ac:dyDescent="0.35">
      <c r="A38" s="26">
        <v>37</v>
      </c>
      <c r="B38" s="26" t="s">
        <v>1264</v>
      </c>
      <c r="C38" s="26" t="s">
        <v>1304</v>
      </c>
      <c r="D38" s="27" t="s">
        <v>1311</v>
      </c>
      <c r="E38" s="26"/>
      <c r="F38" s="26"/>
      <c r="G38" s="26"/>
      <c r="H38" s="26" t="s">
        <v>1312</v>
      </c>
      <c r="I38" s="31">
        <v>20</v>
      </c>
      <c r="J38" s="31">
        <v>-1</v>
      </c>
      <c r="K38" s="31">
        <v>1</v>
      </c>
      <c r="L38" s="31"/>
      <c r="M38" s="31">
        <v>1</v>
      </c>
      <c r="N38" s="31"/>
      <c r="O38" s="31">
        <f t="shared" si="3"/>
        <v>-20</v>
      </c>
      <c r="P38" s="31"/>
      <c r="Q38" s="31"/>
      <c r="R38" s="31"/>
      <c r="S38" s="31"/>
      <c r="T38" s="26"/>
      <c r="U38" s="32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32">
        <f>I38</f>
        <v>20</v>
      </c>
      <c r="AK38" s="32">
        <f t="shared" si="2"/>
        <v>-20</v>
      </c>
    </row>
    <row r="39" spans="1:37" x14ac:dyDescent="0.35">
      <c r="A39" s="26">
        <v>38</v>
      </c>
      <c r="B39" s="26" t="s">
        <v>1264</v>
      </c>
      <c r="C39" s="26"/>
      <c r="D39" s="27" t="s">
        <v>1289</v>
      </c>
      <c r="E39" s="26"/>
      <c r="F39" s="26"/>
      <c r="G39" s="26"/>
      <c r="H39" s="26" t="s">
        <v>1289</v>
      </c>
      <c r="I39" s="31">
        <v>1</v>
      </c>
      <c r="J39" s="31">
        <v>1</v>
      </c>
      <c r="K39" s="31">
        <v>100</v>
      </c>
      <c r="L39" s="31"/>
      <c r="M39" s="31"/>
      <c r="N39" s="31"/>
      <c r="O39" s="31">
        <f t="shared" si="3"/>
        <v>100</v>
      </c>
      <c r="P39" s="31"/>
      <c r="Q39" s="31"/>
      <c r="R39" s="31"/>
      <c r="S39" s="31"/>
      <c r="T39" s="26"/>
      <c r="U39" s="26"/>
      <c r="V39" s="32">
        <f>O39</f>
        <v>100</v>
      </c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</row>
    <row r="40" spans="1:37" ht="29" x14ac:dyDescent="0.35">
      <c r="A40" s="26">
        <v>39</v>
      </c>
      <c r="B40" s="26" t="s">
        <v>1264</v>
      </c>
      <c r="C40" s="26"/>
      <c r="D40" s="27" t="s">
        <v>1290</v>
      </c>
      <c r="E40" s="26"/>
      <c r="F40" s="26"/>
      <c r="G40" s="26"/>
      <c r="H40" s="26" t="s">
        <v>1290</v>
      </c>
      <c r="I40" s="31">
        <v>1</v>
      </c>
      <c r="J40" s="31">
        <v>100</v>
      </c>
      <c r="K40" s="31"/>
      <c r="L40" s="31"/>
      <c r="M40" s="31"/>
      <c r="N40" s="31"/>
      <c r="O40" s="31">
        <f t="shared" si="3"/>
        <v>100</v>
      </c>
      <c r="P40" s="31"/>
      <c r="Q40" s="31"/>
      <c r="R40" s="31"/>
      <c r="S40" s="31"/>
      <c r="T40" s="26"/>
      <c r="U40" s="26"/>
      <c r="V40" s="26"/>
      <c r="W40" s="32">
        <f>O40</f>
        <v>100</v>
      </c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</row>
    <row r="41" spans="1:37" x14ac:dyDescent="0.35">
      <c r="A41" s="26">
        <v>40</v>
      </c>
      <c r="B41" s="26" t="s">
        <v>1264</v>
      </c>
      <c r="C41" s="26"/>
      <c r="D41" s="27" t="s">
        <v>1291</v>
      </c>
      <c r="E41" s="26"/>
      <c r="F41" s="26"/>
      <c r="G41" s="26"/>
      <c r="H41" s="26" t="s">
        <v>1291</v>
      </c>
      <c r="I41" s="31">
        <v>1</v>
      </c>
      <c r="J41" s="31">
        <v>100</v>
      </c>
      <c r="K41" s="31"/>
      <c r="L41" s="31"/>
      <c r="M41" s="31"/>
      <c r="N41" s="31"/>
      <c r="O41" s="31">
        <f t="shared" si="3"/>
        <v>100</v>
      </c>
      <c r="P41" s="31"/>
      <c r="Q41" s="31"/>
      <c r="R41" s="31"/>
      <c r="S41" s="31"/>
      <c r="T41" s="26"/>
      <c r="U41" s="26"/>
      <c r="V41" s="26"/>
      <c r="W41" s="26"/>
      <c r="X41" s="32">
        <f>O41</f>
        <v>100</v>
      </c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</row>
    <row r="42" spans="1:37" x14ac:dyDescent="0.35">
      <c r="A42" s="26">
        <v>41</v>
      </c>
      <c r="B42" s="26" t="s">
        <v>1264</v>
      </c>
      <c r="C42" s="26"/>
      <c r="D42" s="27" t="s">
        <v>1292</v>
      </c>
      <c r="E42" s="26"/>
      <c r="F42" s="26"/>
      <c r="G42" s="26"/>
      <c r="H42" s="26" t="s">
        <v>1292</v>
      </c>
      <c r="I42" s="31">
        <v>1</v>
      </c>
      <c r="J42" s="31">
        <v>100</v>
      </c>
      <c r="K42" s="31"/>
      <c r="L42" s="31"/>
      <c r="M42" s="31"/>
      <c r="N42" s="31"/>
      <c r="O42" s="31">
        <f t="shared" si="3"/>
        <v>100</v>
      </c>
      <c r="P42" s="31"/>
      <c r="Q42" s="31"/>
      <c r="R42" s="31"/>
      <c r="S42" s="31"/>
      <c r="T42" s="26"/>
      <c r="U42" s="26"/>
      <c r="V42" s="26"/>
      <c r="W42" s="26"/>
      <c r="X42" s="26"/>
      <c r="Y42" s="32">
        <f>O42</f>
        <v>100</v>
      </c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</row>
    <row r="43" spans="1:37" x14ac:dyDescent="0.35">
      <c r="A43" s="26">
        <v>42</v>
      </c>
      <c r="B43" s="26" t="s">
        <v>1264</v>
      </c>
      <c r="C43" s="26"/>
      <c r="D43" s="27" t="s">
        <v>1293</v>
      </c>
      <c r="E43" s="26"/>
      <c r="F43" s="26"/>
      <c r="G43" s="26"/>
      <c r="H43" s="26" t="s">
        <v>1293</v>
      </c>
      <c r="I43" s="31">
        <v>1</v>
      </c>
      <c r="J43" s="31">
        <v>1</v>
      </c>
      <c r="K43" s="31">
        <v>100</v>
      </c>
      <c r="L43" s="31"/>
      <c r="M43" s="31"/>
      <c r="N43" s="31"/>
      <c r="O43" s="31">
        <f t="shared" si="3"/>
        <v>100</v>
      </c>
      <c r="P43" s="31"/>
      <c r="Q43" s="31"/>
      <c r="R43" s="31"/>
      <c r="S43" s="31"/>
      <c r="T43" s="26"/>
      <c r="U43" s="26"/>
      <c r="V43" s="26"/>
      <c r="W43" s="26"/>
      <c r="X43" s="26"/>
      <c r="Y43" s="26"/>
      <c r="Z43" s="32">
        <f>O43</f>
        <v>100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</row>
    <row r="44" spans="1:37" x14ac:dyDescent="0.35">
      <c r="A44" s="26">
        <v>43</v>
      </c>
      <c r="B44" s="26" t="s">
        <v>1264</v>
      </c>
      <c r="C44" s="26"/>
      <c r="D44" s="27" t="s">
        <v>1294</v>
      </c>
      <c r="E44" s="26"/>
      <c r="F44" s="26"/>
      <c r="G44" s="26"/>
      <c r="H44" s="26" t="s">
        <v>1295</v>
      </c>
      <c r="I44" s="31">
        <v>1</v>
      </c>
      <c r="J44" s="31">
        <v>1</v>
      </c>
      <c r="K44" s="31">
        <v>100</v>
      </c>
      <c r="L44" s="31"/>
      <c r="M44" s="31"/>
      <c r="N44" s="31"/>
      <c r="O44" s="31">
        <f t="shared" si="3"/>
        <v>100</v>
      </c>
      <c r="P44" s="31"/>
      <c r="Q44" s="31"/>
      <c r="R44" s="31"/>
      <c r="S44" s="31"/>
      <c r="T44" s="26"/>
      <c r="U44" s="26"/>
      <c r="V44" s="26"/>
      <c r="W44" s="26"/>
      <c r="X44" s="26"/>
      <c r="Y44" s="26"/>
      <c r="Z44" s="26"/>
      <c r="AA44" s="32">
        <f>O44</f>
        <v>100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</row>
    <row r="45" spans="1:37" x14ac:dyDescent="0.35">
      <c r="A45" s="26">
        <v>44</v>
      </c>
      <c r="B45" s="26" t="s">
        <v>1264</v>
      </c>
      <c r="C45" s="26"/>
      <c r="D45" s="27" t="s">
        <v>1294</v>
      </c>
      <c r="E45" s="26"/>
      <c r="F45" s="26"/>
      <c r="G45" s="26"/>
      <c r="H45" s="26" t="s">
        <v>1296</v>
      </c>
      <c r="I45" s="31">
        <v>1</v>
      </c>
      <c r="J45" s="31">
        <v>20</v>
      </c>
      <c r="K45" s="31"/>
      <c r="L45" s="31"/>
      <c r="M45" s="31"/>
      <c r="N45" s="31"/>
      <c r="O45" s="31">
        <f t="shared" si="3"/>
        <v>20</v>
      </c>
      <c r="P45" s="31"/>
      <c r="Q45" s="31"/>
      <c r="R45" s="31"/>
      <c r="S45" s="31"/>
      <c r="T45" s="26"/>
      <c r="U45" s="26"/>
      <c r="V45" s="26"/>
      <c r="W45" s="26"/>
      <c r="X45" s="26"/>
      <c r="Y45" s="26"/>
      <c r="Z45" s="32"/>
      <c r="AA45" s="32">
        <f>O45</f>
        <v>20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</row>
    <row r="46" spans="1:37" x14ac:dyDescent="0.35">
      <c r="A46" s="26">
        <v>45</v>
      </c>
      <c r="B46" s="26" t="s">
        <v>1264</v>
      </c>
      <c r="C46" s="26"/>
      <c r="D46" s="27" t="s">
        <v>1294</v>
      </c>
      <c r="E46" s="26"/>
      <c r="F46" s="26"/>
      <c r="G46" s="26"/>
      <c r="H46" s="26" t="s">
        <v>1297</v>
      </c>
      <c r="I46" s="31">
        <v>1</v>
      </c>
      <c r="J46" s="31">
        <v>6</v>
      </c>
      <c r="K46" s="31"/>
      <c r="L46" s="31"/>
      <c r="M46" s="31"/>
      <c r="N46" s="31"/>
      <c r="O46" s="31">
        <f t="shared" si="3"/>
        <v>6</v>
      </c>
      <c r="P46" s="31"/>
      <c r="Q46" s="31"/>
      <c r="R46" s="31"/>
      <c r="S46" s="31"/>
      <c r="T46" s="26"/>
      <c r="U46" s="26"/>
      <c r="V46" s="26"/>
      <c r="W46" s="26"/>
      <c r="X46" s="26"/>
      <c r="Y46" s="26"/>
      <c r="Z46" s="32"/>
      <c r="AA46" s="32">
        <f>O46</f>
        <v>6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</row>
    <row r="47" spans="1:37" x14ac:dyDescent="0.35">
      <c r="A47" s="26">
        <v>46</v>
      </c>
      <c r="B47" s="26" t="s">
        <v>1264</v>
      </c>
      <c r="C47" s="26"/>
      <c r="D47" s="27" t="s">
        <v>1298</v>
      </c>
      <c r="E47" s="26"/>
      <c r="F47" s="26"/>
      <c r="G47" s="26"/>
      <c r="H47" s="26" t="s">
        <v>1298</v>
      </c>
      <c r="I47" s="31">
        <v>1</v>
      </c>
      <c r="J47" s="31">
        <v>10</v>
      </c>
      <c r="K47" s="31"/>
      <c r="L47" s="31"/>
      <c r="M47" s="31"/>
      <c r="N47" s="31"/>
      <c r="O47" s="31">
        <f t="shared" si="3"/>
        <v>10</v>
      </c>
      <c r="P47" s="31"/>
      <c r="Q47" s="31"/>
      <c r="R47" s="31"/>
      <c r="S47" s="31"/>
      <c r="T47" s="26"/>
      <c r="U47" s="26"/>
      <c r="V47" s="26"/>
      <c r="W47" s="26"/>
      <c r="X47" s="26"/>
      <c r="Y47" s="26"/>
      <c r="Z47" s="32"/>
      <c r="AA47" s="26"/>
      <c r="AB47" s="26"/>
      <c r="AC47" s="26"/>
      <c r="AD47" s="26"/>
      <c r="AE47" s="32">
        <f>O47</f>
        <v>10</v>
      </c>
      <c r="AF47" s="26"/>
      <c r="AG47" s="26"/>
      <c r="AH47" s="26"/>
      <c r="AI47" s="26"/>
      <c r="AJ47" s="26"/>
      <c r="AK47" s="26"/>
    </row>
    <row r="48" spans="1:37" ht="29" x14ac:dyDescent="0.35">
      <c r="A48" s="26">
        <v>47</v>
      </c>
      <c r="B48" s="26" t="s">
        <v>1264</v>
      </c>
      <c r="C48" s="26"/>
      <c r="D48" s="27" t="s">
        <v>1238</v>
      </c>
      <c r="E48" s="26"/>
      <c r="F48" s="26"/>
      <c r="G48" s="26"/>
      <c r="H48" s="26" t="s">
        <v>1299</v>
      </c>
      <c r="I48" s="31">
        <v>1</v>
      </c>
      <c r="J48" s="31">
        <v>10</v>
      </c>
      <c r="K48" s="31"/>
      <c r="L48" s="31"/>
      <c r="M48" s="31"/>
      <c r="N48" s="31"/>
      <c r="O48" s="31">
        <f t="shared" si="3"/>
        <v>10</v>
      </c>
      <c r="P48" s="31"/>
      <c r="Q48" s="31"/>
      <c r="R48" s="31"/>
      <c r="S48" s="31"/>
      <c r="T48" s="26"/>
      <c r="U48" s="26"/>
      <c r="V48" s="26"/>
      <c r="W48" s="26"/>
      <c r="X48" s="26"/>
      <c r="Y48" s="26"/>
      <c r="Z48" s="32"/>
      <c r="AA48" s="26"/>
      <c r="AB48" s="32">
        <f>O48</f>
        <v>10</v>
      </c>
      <c r="AC48" s="26"/>
      <c r="AD48" s="26"/>
      <c r="AE48" s="26"/>
      <c r="AF48" s="26"/>
      <c r="AG48" s="26"/>
      <c r="AH48" s="26"/>
      <c r="AI48" s="26"/>
      <c r="AJ48" s="26"/>
      <c r="AK48" s="26"/>
    </row>
    <row r="49" spans="1:37" ht="29" x14ac:dyDescent="0.35">
      <c r="A49" s="26">
        <v>48</v>
      </c>
      <c r="B49" s="26" t="s">
        <v>1264</v>
      </c>
      <c r="C49" s="26"/>
      <c r="D49" s="27" t="s">
        <v>1238</v>
      </c>
      <c r="E49" s="26"/>
      <c r="F49" s="26"/>
      <c r="G49" s="26"/>
      <c r="H49" s="26" t="s">
        <v>1300</v>
      </c>
      <c r="I49" s="31">
        <v>1</v>
      </c>
      <c r="J49" s="31">
        <v>10</v>
      </c>
      <c r="K49" s="31"/>
      <c r="L49" s="31"/>
      <c r="M49" s="31"/>
      <c r="N49" s="31"/>
      <c r="O49" s="31">
        <f t="shared" si="3"/>
        <v>10</v>
      </c>
      <c r="P49" s="31"/>
      <c r="Q49" s="31"/>
      <c r="R49" s="31"/>
      <c r="S49" s="31"/>
      <c r="T49" s="26"/>
      <c r="U49" s="26"/>
      <c r="V49" s="26"/>
      <c r="W49" s="26"/>
      <c r="X49" s="26"/>
      <c r="Y49" s="26"/>
      <c r="Z49" s="32"/>
      <c r="AA49" s="26"/>
      <c r="AB49" s="32">
        <f>O49</f>
        <v>10</v>
      </c>
      <c r="AC49" s="26"/>
      <c r="AD49" s="26"/>
      <c r="AE49" s="26"/>
      <c r="AF49" s="26"/>
      <c r="AG49" s="26"/>
      <c r="AH49" s="26"/>
      <c r="AI49" s="26"/>
      <c r="AJ49" s="26"/>
      <c r="AK49" s="26"/>
    </row>
    <row r="50" spans="1:37" ht="29" x14ac:dyDescent="0.35">
      <c r="A50" s="26">
        <v>49</v>
      </c>
      <c r="B50" s="26" t="s">
        <v>1264</v>
      </c>
      <c r="C50" s="26"/>
      <c r="D50" s="27" t="s">
        <v>1238</v>
      </c>
      <c r="E50" s="26"/>
      <c r="F50" s="26"/>
      <c r="G50" s="26"/>
      <c r="H50" s="26" t="s">
        <v>1301</v>
      </c>
      <c r="I50" s="31">
        <v>1</v>
      </c>
      <c r="J50" s="31">
        <v>10</v>
      </c>
      <c r="K50" s="31"/>
      <c r="L50" s="31"/>
      <c r="M50" s="31"/>
      <c r="N50" s="31"/>
      <c r="O50" s="31">
        <f t="shared" si="3"/>
        <v>10</v>
      </c>
      <c r="P50" s="31"/>
      <c r="Q50" s="31"/>
      <c r="R50" s="31"/>
      <c r="S50" s="31"/>
      <c r="T50" s="26"/>
      <c r="U50" s="26"/>
      <c r="V50" s="26"/>
      <c r="W50" s="26"/>
      <c r="X50" s="26"/>
      <c r="Y50" s="26"/>
      <c r="Z50" s="32"/>
      <c r="AA50" s="26"/>
      <c r="AB50" s="32">
        <f>O50</f>
        <v>10</v>
      </c>
      <c r="AC50" s="26"/>
      <c r="AD50" s="26"/>
      <c r="AE50" s="26"/>
      <c r="AF50" s="26"/>
      <c r="AG50" s="26"/>
      <c r="AH50" s="26"/>
      <c r="AI50" s="26"/>
      <c r="AJ50" s="26"/>
      <c r="AK50" s="26"/>
    </row>
    <row r="51" spans="1:37" x14ac:dyDescent="0.35">
      <c r="A51" s="26">
        <v>50</v>
      </c>
      <c r="B51" s="26" t="s">
        <v>1264</v>
      </c>
      <c r="C51" s="26"/>
      <c r="D51" s="27" t="s">
        <v>1305</v>
      </c>
      <c r="E51" s="26"/>
      <c r="F51" s="26"/>
      <c r="G51" s="26"/>
      <c r="H51" s="26" t="s">
        <v>1306</v>
      </c>
      <c r="I51" s="31">
        <v>1</v>
      </c>
      <c r="J51" s="31">
        <v>10</v>
      </c>
      <c r="K51" s="31"/>
      <c r="L51" s="31"/>
      <c r="M51" s="31"/>
      <c r="N51" s="31"/>
      <c r="O51" s="31">
        <f t="shared" si="3"/>
        <v>10</v>
      </c>
      <c r="P51" s="31"/>
      <c r="Q51" s="31"/>
      <c r="R51" s="31"/>
      <c r="S51" s="31"/>
      <c r="T51" s="26"/>
      <c r="U51" s="26"/>
      <c r="V51" s="26"/>
      <c r="W51" s="26"/>
      <c r="X51" s="26"/>
      <c r="Y51" s="26"/>
      <c r="Z51" s="32"/>
      <c r="AA51" s="26"/>
      <c r="AB51" s="26"/>
      <c r="AC51" s="26"/>
      <c r="AD51" s="32">
        <f>O51</f>
        <v>10</v>
      </c>
      <c r="AE51" s="26"/>
      <c r="AF51" s="26"/>
      <c r="AG51" s="26"/>
      <c r="AH51" s="26"/>
      <c r="AI51" s="26"/>
      <c r="AJ51" s="26"/>
      <c r="AK51" s="26"/>
    </row>
    <row r="52" spans="1:37" ht="29" x14ac:dyDescent="0.35">
      <c r="A52" s="26">
        <v>51</v>
      </c>
      <c r="B52" s="26" t="s">
        <v>1264</v>
      </c>
      <c r="C52" s="26"/>
      <c r="D52" s="27" t="s">
        <v>1305</v>
      </c>
      <c r="E52" s="26"/>
      <c r="F52" s="26"/>
      <c r="G52" s="26"/>
      <c r="H52" s="26" t="s">
        <v>1307</v>
      </c>
      <c r="I52" s="31">
        <v>1</v>
      </c>
      <c r="J52" s="31">
        <v>10</v>
      </c>
      <c r="K52" s="31"/>
      <c r="L52" s="31"/>
      <c r="M52" s="31"/>
      <c r="N52" s="31"/>
      <c r="O52" s="31">
        <f t="shared" si="3"/>
        <v>10</v>
      </c>
      <c r="P52" s="31"/>
      <c r="Q52" s="31"/>
      <c r="R52" s="31"/>
      <c r="S52" s="31"/>
      <c r="T52" s="26"/>
      <c r="U52" s="26"/>
      <c r="V52" s="26"/>
      <c r="W52" s="26"/>
      <c r="X52" s="26"/>
      <c r="Y52" s="26"/>
      <c r="Z52" s="32"/>
      <c r="AA52" s="26"/>
      <c r="AB52" s="26"/>
      <c r="AC52" s="26"/>
      <c r="AD52" s="32">
        <f>O52</f>
        <v>10</v>
      </c>
      <c r="AE52" s="26"/>
      <c r="AF52" s="26"/>
      <c r="AG52" s="26"/>
      <c r="AH52" s="26"/>
      <c r="AI52" s="26"/>
      <c r="AJ52" s="26"/>
      <c r="AK52" s="26"/>
    </row>
    <row r="53" spans="1:37" x14ac:dyDescent="0.35">
      <c r="A53" s="26">
        <v>52</v>
      </c>
      <c r="B53" s="26" t="s">
        <v>1264</v>
      </c>
      <c r="C53" s="26"/>
      <c r="D53" s="27" t="s">
        <v>1305</v>
      </c>
      <c r="E53" s="26"/>
      <c r="F53" s="26"/>
      <c r="G53" s="26"/>
      <c r="H53" s="26" t="s">
        <v>1308</v>
      </c>
      <c r="I53" s="31">
        <v>1</v>
      </c>
      <c r="J53" s="31">
        <v>10</v>
      </c>
      <c r="K53" s="31"/>
      <c r="L53" s="31"/>
      <c r="M53" s="31"/>
      <c r="N53" s="31"/>
      <c r="O53" s="31">
        <f t="shared" si="3"/>
        <v>10</v>
      </c>
      <c r="P53" s="31"/>
      <c r="Q53" s="31"/>
      <c r="R53" s="31"/>
      <c r="S53" s="31"/>
      <c r="T53" s="26"/>
      <c r="U53" s="26"/>
      <c r="V53" s="26"/>
      <c r="W53" s="26"/>
      <c r="X53" s="26"/>
      <c r="Y53" s="26"/>
      <c r="Z53" s="32"/>
      <c r="AA53" s="26"/>
      <c r="AB53" s="26"/>
      <c r="AC53" s="26"/>
      <c r="AD53" s="32">
        <f>O53</f>
        <v>10</v>
      </c>
      <c r="AE53" s="26"/>
      <c r="AF53" s="26"/>
      <c r="AG53" s="26"/>
      <c r="AH53" s="26"/>
      <c r="AI53" s="26"/>
      <c r="AJ53" s="26"/>
      <c r="AK53" s="26"/>
    </row>
    <row r="54" spans="1:37" x14ac:dyDescent="0.35">
      <c r="A54" s="26">
        <v>53</v>
      </c>
      <c r="B54" s="26" t="s">
        <v>1264</v>
      </c>
      <c r="C54" s="26"/>
      <c r="D54" s="27" t="s">
        <v>1313</v>
      </c>
      <c r="E54" s="26"/>
      <c r="F54" s="26"/>
      <c r="G54" s="26"/>
      <c r="H54" s="26" t="s">
        <v>1313</v>
      </c>
      <c r="I54" s="31">
        <v>10</v>
      </c>
      <c r="J54" s="31">
        <v>10</v>
      </c>
      <c r="K54" s="31"/>
      <c r="L54" s="31"/>
      <c r="M54" s="31"/>
      <c r="N54" s="31"/>
      <c r="O54" s="31">
        <f t="shared" si="3"/>
        <v>100</v>
      </c>
      <c r="P54" s="31"/>
      <c r="Q54" s="31"/>
      <c r="R54" s="31"/>
      <c r="S54" s="31"/>
      <c r="T54" s="26"/>
      <c r="U54" s="26"/>
      <c r="V54" s="26"/>
      <c r="W54" s="26"/>
      <c r="X54" s="26"/>
      <c r="Y54" s="26"/>
      <c r="Z54" s="32"/>
      <c r="AA54" s="26"/>
      <c r="AB54" s="26"/>
      <c r="AC54" s="26"/>
      <c r="AD54" s="26"/>
      <c r="AE54" s="26"/>
      <c r="AF54" s="26"/>
      <c r="AG54" s="26"/>
      <c r="AH54" s="32">
        <f>O54</f>
        <v>100</v>
      </c>
      <c r="AI54" s="26"/>
      <c r="AJ54" s="26"/>
      <c r="AK54" s="26"/>
    </row>
    <row r="55" spans="1:37" x14ac:dyDescent="0.35">
      <c r="A55" s="26"/>
      <c r="B55" s="26"/>
      <c r="C55" s="26"/>
      <c r="D55" s="27"/>
      <c r="E55" s="26"/>
      <c r="F55" s="26"/>
      <c r="G55" s="26"/>
      <c r="H55" s="26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26"/>
      <c r="U55" s="32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</row>
    <row r="56" spans="1:37" x14ac:dyDescent="0.35">
      <c r="A56" s="26"/>
      <c r="B56" s="26"/>
      <c r="C56" s="26"/>
      <c r="D56" s="27"/>
      <c r="E56" s="26"/>
      <c r="F56" s="26"/>
      <c r="G56" s="26"/>
      <c r="H56" s="26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26"/>
      <c r="U56" s="32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 spans="1:37" s="23" customFormat="1" x14ac:dyDescent="0.35">
      <c r="A57" s="33"/>
      <c r="B57" s="33"/>
      <c r="C57" s="33"/>
      <c r="D57" s="28"/>
      <c r="E57" s="33"/>
      <c r="F57" s="33"/>
      <c r="G57" s="33"/>
      <c r="H57" s="33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5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spans="1:37" s="21" customFormat="1" x14ac:dyDescent="0.35">
      <c r="A58" s="24"/>
      <c r="B58" s="24"/>
      <c r="C58" s="24"/>
      <c r="D58" s="24"/>
      <c r="E58" s="24"/>
      <c r="F58" s="24"/>
      <c r="G58" s="24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30">
        <f>SUM(T2:T57)</f>
        <v>100</v>
      </c>
      <c r="U58" s="30">
        <f t="shared" ref="U58:AK58" si="4">SUM(U2:U57)</f>
        <v>100</v>
      </c>
      <c r="V58" s="30">
        <f t="shared" si="4"/>
        <v>100</v>
      </c>
      <c r="W58" s="30">
        <f t="shared" si="4"/>
        <v>100</v>
      </c>
      <c r="X58" s="30">
        <f t="shared" si="4"/>
        <v>100</v>
      </c>
      <c r="Y58" s="30">
        <f t="shared" si="4"/>
        <v>100</v>
      </c>
      <c r="Z58" s="30">
        <f t="shared" si="4"/>
        <v>100</v>
      </c>
      <c r="AA58" s="30">
        <f t="shared" si="4"/>
        <v>126</v>
      </c>
      <c r="AB58" s="30">
        <f t="shared" si="4"/>
        <v>30</v>
      </c>
      <c r="AC58" s="30">
        <f t="shared" si="4"/>
        <v>234</v>
      </c>
      <c r="AD58" s="30">
        <f t="shared" si="4"/>
        <v>30</v>
      </c>
      <c r="AE58" s="30">
        <f t="shared" si="4"/>
        <v>10</v>
      </c>
      <c r="AF58" s="30">
        <f t="shared" si="4"/>
        <v>300</v>
      </c>
      <c r="AG58" s="30">
        <f t="shared" si="4"/>
        <v>300</v>
      </c>
      <c r="AH58" s="30">
        <f t="shared" si="4"/>
        <v>100</v>
      </c>
      <c r="AI58" s="30">
        <f t="shared" si="4"/>
        <v>30</v>
      </c>
      <c r="AJ58" s="30">
        <f t="shared" si="4"/>
        <v>60</v>
      </c>
      <c r="AK58" s="30">
        <f t="shared" si="4"/>
        <v>240</v>
      </c>
    </row>
    <row r="59" spans="1:37" s="21" customFormat="1" x14ac:dyDescent="0.35">
      <c r="A59" s="24"/>
      <c r="B59" s="24"/>
      <c r="C59" s="24"/>
      <c r="D59" s="24"/>
      <c r="E59" s="24"/>
      <c r="F59" s="24"/>
      <c r="G59" s="24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30" t="s">
        <v>12</v>
      </c>
      <c r="U59" s="30" t="s">
        <v>12</v>
      </c>
      <c r="V59" s="24" t="s">
        <v>8</v>
      </c>
      <c r="W59" s="24" t="s">
        <v>177</v>
      </c>
      <c r="X59" s="24" t="s">
        <v>177</v>
      </c>
      <c r="Y59" s="24" t="s">
        <v>177</v>
      </c>
      <c r="Z59" s="24" t="s">
        <v>8</v>
      </c>
      <c r="AA59" s="24" t="s">
        <v>177</v>
      </c>
      <c r="AB59" s="24" t="s">
        <v>177</v>
      </c>
      <c r="AC59" s="24" t="s">
        <v>10</v>
      </c>
      <c r="AD59" s="24" t="s">
        <v>177</v>
      </c>
      <c r="AE59" s="24" t="s">
        <v>177</v>
      </c>
      <c r="AF59" s="24" t="s">
        <v>10</v>
      </c>
      <c r="AG59" s="24" t="s">
        <v>10</v>
      </c>
      <c r="AH59" s="24" t="s">
        <v>177</v>
      </c>
      <c r="AI59" s="24" t="s">
        <v>177</v>
      </c>
      <c r="AJ59" s="24" t="s">
        <v>177</v>
      </c>
      <c r="AK59" s="24" t="s">
        <v>10</v>
      </c>
    </row>
    <row r="60" spans="1:37" x14ac:dyDescent="0.35">
      <c r="U60" s="37"/>
    </row>
    <row r="61" spans="1:37" x14ac:dyDescent="0.35">
      <c r="U61" s="37"/>
    </row>
    <row r="62" spans="1:37" x14ac:dyDescent="0.35">
      <c r="U62" s="37"/>
    </row>
    <row r="63" spans="1:37" x14ac:dyDescent="0.35">
      <c r="U63" s="37"/>
    </row>
    <row r="64" spans="1:37" x14ac:dyDescent="0.35">
      <c r="U64" s="37"/>
    </row>
    <row r="65" spans="21:21" x14ac:dyDescent="0.35">
      <c r="U65" s="37"/>
    </row>
    <row r="66" spans="21:21" x14ac:dyDescent="0.35">
      <c r="U66" s="37"/>
    </row>
  </sheetData>
  <phoneticPr fontId="4" type="noConversion"/>
  <pageMargins left="0.7" right="0.7" top="0.75" bottom="0.75" header="0.3" footer="0.3"/>
  <pageSetup scale="2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F8AF-BC2F-41BF-B263-15B8DBF20CFB}">
  <dimension ref="A1:AB33"/>
  <sheetViews>
    <sheetView view="pageBreakPreview" zoomScaleNormal="70" zoomScaleSheetLayoutView="100" workbookViewId="0">
      <selection activeCell="Q8" sqref="Q8"/>
    </sheetView>
  </sheetViews>
  <sheetFormatPr defaultRowHeight="14.5" x14ac:dyDescent="0.35"/>
  <cols>
    <col min="1" max="1" width="6.08984375" style="22" customWidth="1"/>
    <col min="2" max="2" width="11.90625" style="22" bestFit="1" customWidth="1"/>
    <col min="3" max="3" width="10.6328125" style="22" bestFit="1" customWidth="1"/>
    <col min="4" max="4" width="8.26953125" style="20" bestFit="1" customWidth="1"/>
    <col min="5" max="7" width="3.36328125" style="22" bestFit="1" customWidth="1"/>
    <col min="8" max="8" width="8.7265625" style="22" bestFit="1" customWidth="1"/>
    <col min="9" max="10" width="6.26953125" style="36" bestFit="1" customWidth="1"/>
    <col min="11" max="11" width="2.1796875" style="36" bestFit="1" customWidth="1"/>
    <col min="12" max="12" width="2.453125" style="36" bestFit="1" customWidth="1"/>
    <col min="13" max="13" width="2.54296875" style="36" bestFit="1" customWidth="1"/>
    <col min="14" max="14" width="2.26953125" style="36" bestFit="1" customWidth="1"/>
    <col min="15" max="15" width="4.36328125" style="36" bestFit="1" customWidth="1"/>
    <col min="16" max="16" width="7.26953125" style="36" bestFit="1" customWidth="1"/>
    <col min="17" max="17" width="8" style="36" bestFit="1" customWidth="1"/>
    <col min="18" max="18" width="9.6328125" style="36" bestFit="1" customWidth="1"/>
    <col min="19" max="19" width="8.7265625" style="36" bestFit="1" customWidth="1"/>
    <col min="20" max="20" width="11.453125" style="36" bestFit="1" customWidth="1"/>
    <col min="21" max="21" width="8.54296875" style="36" bestFit="1" customWidth="1"/>
    <col min="22" max="22" width="10.7265625" style="22" bestFit="1" customWidth="1"/>
    <col min="23" max="23" width="12.81640625" style="22" bestFit="1" customWidth="1"/>
    <col min="24" max="24" width="9.81640625" style="22" bestFit="1" customWidth="1"/>
    <col min="25" max="25" width="12.81640625" style="22" bestFit="1" customWidth="1"/>
    <col min="26" max="26" width="12.90625" style="22" bestFit="1" customWidth="1"/>
    <col min="27" max="27" width="10.36328125" style="22" bestFit="1" customWidth="1"/>
    <col min="28" max="28" width="12.90625" style="22" bestFit="1" customWidth="1"/>
    <col min="29" max="16384" width="8.7265625" style="20"/>
  </cols>
  <sheetData>
    <row r="1" spans="1:28" s="21" customFormat="1" ht="43.5" x14ac:dyDescent="0.35">
      <c r="A1" s="24" t="s">
        <v>110</v>
      </c>
      <c r="B1" s="24" t="s">
        <v>1260</v>
      </c>
      <c r="C1" s="24" t="s">
        <v>1121</v>
      </c>
      <c r="D1" s="24" t="s">
        <v>2</v>
      </c>
      <c r="E1" s="24" t="s">
        <v>1261</v>
      </c>
      <c r="F1" s="24" t="s">
        <v>1138</v>
      </c>
      <c r="G1" s="24" t="s">
        <v>1262</v>
      </c>
      <c r="H1" s="24" t="s">
        <v>1277</v>
      </c>
      <c r="I1" s="25" t="s">
        <v>1200</v>
      </c>
      <c r="J1" s="25" t="s">
        <v>1200</v>
      </c>
      <c r="K1" s="25" t="s">
        <v>1261</v>
      </c>
      <c r="L1" s="25" t="s">
        <v>1138</v>
      </c>
      <c r="M1" s="25" t="s">
        <v>1262</v>
      </c>
      <c r="N1" s="25" t="s">
        <v>1270</v>
      </c>
      <c r="O1" s="25" t="s">
        <v>1263</v>
      </c>
      <c r="P1" s="25" t="s">
        <v>1267</v>
      </c>
      <c r="Q1" s="25" t="s">
        <v>1269</v>
      </c>
      <c r="R1" s="25" t="s">
        <v>1268</v>
      </c>
      <c r="S1" s="25" t="s">
        <v>1319</v>
      </c>
      <c r="T1" s="25" t="s">
        <v>1320</v>
      </c>
      <c r="U1" s="25" t="s">
        <v>1321</v>
      </c>
      <c r="V1" s="24" t="s">
        <v>1322</v>
      </c>
      <c r="W1" s="24" t="s">
        <v>1190</v>
      </c>
      <c r="X1" s="24" t="s">
        <v>1191</v>
      </c>
      <c r="Y1" s="24" t="s">
        <v>1192</v>
      </c>
      <c r="Z1" s="24" t="s">
        <v>1194</v>
      </c>
      <c r="AA1" s="24" t="s">
        <v>1193</v>
      </c>
      <c r="AB1" s="24" t="s">
        <v>1195</v>
      </c>
    </row>
    <row r="2" spans="1:28" ht="29" x14ac:dyDescent="0.35">
      <c r="A2" s="26">
        <v>1</v>
      </c>
      <c r="B2" s="26" t="s">
        <v>1264</v>
      </c>
      <c r="C2" s="26" t="s">
        <v>1316</v>
      </c>
      <c r="D2" s="26" t="s">
        <v>1265</v>
      </c>
      <c r="E2" s="26">
        <v>0.5</v>
      </c>
      <c r="F2" s="26">
        <v>0.5</v>
      </c>
      <c r="G2" s="26">
        <v>4</v>
      </c>
      <c r="H2" s="27" t="s">
        <v>1318</v>
      </c>
      <c r="I2" s="31">
        <v>10</v>
      </c>
      <c r="J2" s="31">
        <v>10</v>
      </c>
      <c r="K2" s="31"/>
      <c r="L2" s="31"/>
      <c r="M2" s="31"/>
      <c r="N2" s="31"/>
      <c r="O2" s="31"/>
      <c r="P2" s="31">
        <f>E2*F2</f>
        <v>0.25</v>
      </c>
      <c r="Q2" s="31">
        <f t="shared" ref="Q2:Q21" si="0">I2*J2*E2*F2*G2</f>
        <v>100</v>
      </c>
      <c r="R2" s="31">
        <f t="shared" ref="R2:R9" si="1">I2*J2*(E2*2+F2*2)</f>
        <v>200</v>
      </c>
      <c r="S2" s="31">
        <f t="shared" ref="S2:S21" si="2">+R2*G2</f>
        <v>800</v>
      </c>
      <c r="T2" s="31">
        <f t="shared" ref="T2:T9" si="3">Q2</f>
        <v>100</v>
      </c>
      <c r="U2" s="31"/>
      <c r="V2" s="32"/>
      <c r="W2" s="32">
        <f t="shared" ref="W2:W9" si="4">S2</f>
        <v>800</v>
      </c>
      <c r="X2" s="26"/>
      <c r="Y2" s="26"/>
      <c r="Z2" s="32">
        <f t="shared" ref="Z2:Z9" si="5">+S2</f>
        <v>800</v>
      </c>
      <c r="AA2" s="26"/>
      <c r="AB2" s="26"/>
    </row>
    <row r="3" spans="1:28" ht="29" x14ac:dyDescent="0.35">
      <c r="A3" s="26">
        <v>2</v>
      </c>
      <c r="B3" s="26" t="s">
        <v>1266</v>
      </c>
      <c r="C3" s="26" t="s">
        <v>1316</v>
      </c>
      <c r="D3" s="26" t="s">
        <v>1265</v>
      </c>
      <c r="E3" s="26">
        <v>0.5</v>
      </c>
      <c r="F3" s="26">
        <v>0.5</v>
      </c>
      <c r="G3" s="26">
        <v>4</v>
      </c>
      <c r="H3" s="27" t="s">
        <v>1318</v>
      </c>
      <c r="I3" s="31">
        <v>10</v>
      </c>
      <c r="J3" s="31">
        <v>10</v>
      </c>
      <c r="K3" s="31"/>
      <c r="L3" s="31"/>
      <c r="M3" s="31"/>
      <c r="N3" s="31"/>
      <c r="O3" s="31"/>
      <c r="P3" s="31">
        <f t="shared" ref="P3:P21" si="6">E3*F3</f>
        <v>0.25</v>
      </c>
      <c r="Q3" s="31">
        <f t="shared" si="0"/>
        <v>100</v>
      </c>
      <c r="R3" s="31">
        <f t="shared" si="1"/>
        <v>200</v>
      </c>
      <c r="S3" s="31">
        <f t="shared" si="2"/>
        <v>800</v>
      </c>
      <c r="T3" s="31">
        <f t="shared" si="3"/>
        <v>100</v>
      </c>
      <c r="U3" s="31"/>
      <c r="V3" s="26"/>
      <c r="W3" s="32">
        <f t="shared" si="4"/>
        <v>800</v>
      </c>
      <c r="X3" s="26"/>
      <c r="Y3" s="26"/>
      <c r="Z3" s="32">
        <f t="shared" si="5"/>
        <v>800</v>
      </c>
      <c r="AA3" s="26"/>
      <c r="AB3" s="26"/>
    </row>
    <row r="4" spans="1:28" ht="29" x14ac:dyDescent="0.35">
      <c r="A4" s="26">
        <v>3</v>
      </c>
      <c r="B4" s="26" t="s">
        <v>1314</v>
      </c>
      <c r="C4" s="26" t="s">
        <v>1316</v>
      </c>
      <c r="D4" s="26" t="s">
        <v>1265</v>
      </c>
      <c r="E4" s="26">
        <v>0.5</v>
      </c>
      <c r="F4" s="26">
        <v>0.5</v>
      </c>
      <c r="G4" s="26">
        <v>4</v>
      </c>
      <c r="H4" s="27" t="s">
        <v>1318</v>
      </c>
      <c r="I4" s="31">
        <v>10</v>
      </c>
      <c r="J4" s="31">
        <v>10</v>
      </c>
      <c r="K4" s="31"/>
      <c r="L4" s="31"/>
      <c r="M4" s="31"/>
      <c r="N4" s="31"/>
      <c r="O4" s="31"/>
      <c r="P4" s="31">
        <f t="shared" si="6"/>
        <v>0.25</v>
      </c>
      <c r="Q4" s="31">
        <f t="shared" si="0"/>
        <v>100</v>
      </c>
      <c r="R4" s="31">
        <f t="shared" si="1"/>
        <v>200</v>
      </c>
      <c r="S4" s="31">
        <f t="shared" si="2"/>
        <v>800</v>
      </c>
      <c r="T4" s="31">
        <f t="shared" si="3"/>
        <v>100</v>
      </c>
      <c r="U4" s="31"/>
      <c r="V4" s="32"/>
      <c r="W4" s="32">
        <f t="shared" si="4"/>
        <v>800</v>
      </c>
      <c r="X4" s="26"/>
      <c r="Y4" s="26"/>
      <c r="Z4" s="32">
        <f t="shared" si="5"/>
        <v>800</v>
      </c>
      <c r="AA4" s="26"/>
      <c r="AB4" s="26"/>
    </row>
    <row r="5" spans="1:28" ht="29" x14ac:dyDescent="0.35">
      <c r="A5" s="26">
        <v>4</v>
      </c>
      <c r="B5" s="26" t="s">
        <v>1315</v>
      </c>
      <c r="C5" s="26" t="s">
        <v>1316</v>
      </c>
      <c r="D5" s="26" t="s">
        <v>1265</v>
      </c>
      <c r="E5" s="26">
        <v>0.5</v>
      </c>
      <c r="F5" s="26">
        <v>0.5</v>
      </c>
      <c r="G5" s="26">
        <v>2</v>
      </c>
      <c r="H5" s="27" t="s">
        <v>1318</v>
      </c>
      <c r="I5" s="31">
        <v>10</v>
      </c>
      <c r="J5" s="31">
        <v>10</v>
      </c>
      <c r="K5" s="31"/>
      <c r="L5" s="31"/>
      <c r="M5" s="31"/>
      <c r="N5" s="31"/>
      <c r="O5" s="31"/>
      <c r="P5" s="31">
        <f t="shared" si="6"/>
        <v>0.25</v>
      </c>
      <c r="Q5" s="31">
        <f t="shared" si="0"/>
        <v>50</v>
      </c>
      <c r="R5" s="31">
        <f t="shared" si="1"/>
        <v>200</v>
      </c>
      <c r="S5" s="31">
        <f t="shared" si="2"/>
        <v>400</v>
      </c>
      <c r="T5" s="31">
        <f t="shared" si="3"/>
        <v>50</v>
      </c>
      <c r="U5" s="31"/>
      <c r="V5" s="32"/>
      <c r="W5" s="32">
        <f t="shared" si="4"/>
        <v>400</v>
      </c>
      <c r="X5" s="26"/>
      <c r="Y5" s="26"/>
      <c r="Z5" s="32">
        <f t="shared" si="5"/>
        <v>400</v>
      </c>
      <c r="AA5" s="26"/>
      <c r="AB5" s="26"/>
    </row>
    <row r="6" spans="1:28" ht="29" x14ac:dyDescent="0.35">
      <c r="A6" s="26">
        <v>5</v>
      </c>
      <c r="B6" s="26" t="s">
        <v>1264</v>
      </c>
      <c r="C6" s="26" t="s">
        <v>1317</v>
      </c>
      <c r="D6" s="26" t="s">
        <v>1265</v>
      </c>
      <c r="E6" s="26">
        <v>1</v>
      </c>
      <c r="F6" s="26">
        <v>0.5</v>
      </c>
      <c r="G6" s="26">
        <v>4</v>
      </c>
      <c r="H6" s="27" t="s">
        <v>1318</v>
      </c>
      <c r="I6" s="31">
        <v>10</v>
      </c>
      <c r="J6" s="31">
        <v>10</v>
      </c>
      <c r="K6" s="31"/>
      <c r="L6" s="31"/>
      <c r="M6" s="31"/>
      <c r="N6" s="31"/>
      <c r="O6" s="31"/>
      <c r="P6" s="31">
        <f t="shared" si="6"/>
        <v>0.5</v>
      </c>
      <c r="Q6" s="31">
        <f t="shared" si="0"/>
        <v>200</v>
      </c>
      <c r="R6" s="31">
        <f t="shared" si="1"/>
        <v>300</v>
      </c>
      <c r="S6" s="31">
        <f t="shared" si="2"/>
        <v>1200</v>
      </c>
      <c r="T6" s="31">
        <f t="shared" si="3"/>
        <v>200</v>
      </c>
      <c r="U6" s="31"/>
      <c r="V6" s="26"/>
      <c r="W6" s="32">
        <f t="shared" si="4"/>
        <v>1200</v>
      </c>
      <c r="X6" s="26"/>
      <c r="Y6" s="26"/>
      <c r="Z6" s="32">
        <f t="shared" si="5"/>
        <v>1200</v>
      </c>
      <c r="AA6" s="26"/>
      <c r="AB6" s="26"/>
    </row>
    <row r="7" spans="1:28" ht="29" x14ac:dyDescent="0.35">
      <c r="A7" s="26">
        <v>6</v>
      </c>
      <c r="B7" s="26" t="s">
        <v>1266</v>
      </c>
      <c r="C7" s="26" t="s">
        <v>1317</v>
      </c>
      <c r="D7" s="26" t="s">
        <v>1265</v>
      </c>
      <c r="E7" s="26">
        <v>1</v>
      </c>
      <c r="F7" s="26">
        <v>0.5</v>
      </c>
      <c r="G7" s="26">
        <v>4</v>
      </c>
      <c r="H7" s="27" t="s">
        <v>1318</v>
      </c>
      <c r="I7" s="31">
        <v>10</v>
      </c>
      <c r="J7" s="31">
        <v>10</v>
      </c>
      <c r="K7" s="31"/>
      <c r="L7" s="31"/>
      <c r="M7" s="31"/>
      <c r="N7" s="31"/>
      <c r="O7" s="31"/>
      <c r="P7" s="31">
        <f t="shared" si="6"/>
        <v>0.5</v>
      </c>
      <c r="Q7" s="31">
        <f t="shared" si="0"/>
        <v>200</v>
      </c>
      <c r="R7" s="31">
        <f t="shared" si="1"/>
        <v>300</v>
      </c>
      <c r="S7" s="31">
        <f t="shared" si="2"/>
        <v>1200</v>
      </c>
      <c r="T7" s="31">
        <f t="shared" si="3"/>
        <v>200</v>
      </c>
      <c r="U7" s="31"/>
      <c r="V7" s="26"/>
      <c r="W7" s="32">
        <f t="shared" si="4"/>
        <v>1200</v>
      </c>
      <c r="X7" s="26"/>
      <c r="Y7" s="26"/>
      <c r="Z7" s="32">
        <f t="shared" si="5"/>
        <v>1200</v>
      </c>
      <c r="AA7" s="26"/>
      <c r="AB7" s="26"/>
    </row>
    <row r="8" spans="1:28" ht="29" x14ac:dyDescent="0.35">
      <c r="A8" s="26">
        <v>7</v>
      </c>
      <c r="B8" s="26" t="s">
        <v>1314</v>
      </c>
      <c r="C8" s="26" t="s">
        <v>1317</v>
      </c>
      <c r="D8" s="26" t="s">
        <v>1265</v>
      </c>
      <c r="E8" s="26">
        <v>1</v>
      </c>
      <c r="F8" s="26">
        <v>0.5</v>
      </c>
      <c r="G8" s="26">
        <v>4</v>
      </c>
      <c r="H8" s="27" t="s">
        <v>1318</v>
      </c>
      <c r="I8" s="31">
        <v>10</v>
      </c>
      <c r="J8" s="31">
        <v>10</v>
      </c>
      <c r="K8" s="31"/>
      <c r="L8" s="31"/>
      <c r="M8" s="31"/>
      <c r="N8" s="31"/>
      <c r="O8" s="31"/>
      <c r="P8" s="31">
        <f t="shared" si="6"/>
        <v>0.5</v>
      </c>
      <c r="Q8" s="31">
        <f t="shared" si="0"/>
        <v>200</v>
      </c>
      <c r="R8" s="31">
        <f t="shared" si="1"/>
        <v>300</v>
      </c>
      <c r="S8" s="31">
        <f t="shared" si="2"/>
        <v>1200</v>
      </c>
      <c r="T8" s="31">
        <f t="shared" si="3"/>
        <v>200</v>
      </c>
      <c r="U8" s="31"/>
      <c r="V8" s="26"/>
      <c r="W8" s="32">
        <f t="shared" si="4"/>
        <v>1200</v>
      </c>
      <c r="X8" s="26"/>
      <c r="Y8" s="26"/>
      <c r="Z8" s="32">
        <f t="shared" si="5"/>
        <v>1200</v>
      </c>
      <c r="AA8" s="26"/>
      <c r="AB8" s="26"/>
    </row>
    <row r="9" spans="1:28" ht="29" x14ac:dyDescent="0.35">
      <c r="A9" s="26">
        <v>8</v>
      </c>
      <c r="B9" s="26" t="s">
        <v>1315</v>
      </c>
      <c r="C9" s="26" t="s">
        <v>1317</v>
      </c>
      <c r="D9" s="26" t="s">
        <v>1265</v>
      </c>
      <c r="E9" s="26">
        <v>1</v>
      </c>
      <c r="F9" s="26">
        <v>0.5</v>
      </c>
      <c r="G9" s="26">
        <v>1.5</v>
      </c>
      <c r="H9" s="27" t="s">
        <v>1318</v>
      </c>
      <c r="I9" s="31">
        <v>10</v>
      </c>
      <c r="J9" s="31">
        <v>10</v>
      </c>
      <c r="K9" s="31"/>
      <c r="L9" s="31"/>
      <c r="M9" s="31"/>
      <c r="N9" s="31"/>
      <c r="O9" s="31"/>
      <c r="P9" s="31">
        <f t="shared" si="6"/>
        <v>0.5</v>
      </c>
      <c r="Q9" s="31">
        <f t="shared" si="0"/>
        <v>75</v>
      </c>
      <c r="R9" s="31">
        <f t="shared" si="1"/>
        <v>300</v>
      </c>
      <c r="S9" s="31">
        <f t="shared" si="2"/>
        <v>450</v>
      </c>
      <c r="T9" s="31">
        <f t="shared" si="3"/>
        <v>75</v>
      </c>
      <c r="U9" s="31"/>
      <c r="V9" s="32"/>
      <c r="W9" s="32">
        <f t="shared" si="4"/>
        <v>450</v>
      </c>
      <c r="X9" s="26"/>
      <c r="Y9" s="26"/>
      <c r="Z9" s="32">
        <f t="shared" si="5"/>
        <v>450</v>
      </c>
      <c r="AA9" s="26"/>
      <c r="AB9" s="26"/>
    </row>
    <row r="10" spans="1:28" ht="29" x14ac:dyDescent="0.35">
      <c r="A10" s="26">
        <v>9</v>
      </c>
      <c r="B10" s="26" t="s">
        <v>1264</v>
      </c>
      <c r="C10" s="26" t="s">
        <v>1324</v>
      </c>
      <c r="D10" s="26" t="s">
        <v>1323</v>
      </c>
      <c r="E10" s="26">
        <v>10</v>
      </c>
      <c r="F10" s="26">
        <v>0.5</v>
      </c>
      <c r="G10" s="26">
        <v>0.5</v>
      </c>
      <c r="H10" s="27" t="s">
        <v>1318</v>
      </c>
      <c r="I10" s="31">
        <v>20</v>
      </c>
      <c r="J10" s="31">
        <v>1</v>
      </c>
      <c r="K10" s="31"/>
      <c r="L10" s="31"/>
      <c r="M10" s="31"/>
      <c r="N10" s="31"/>
      <c r="O10" s="31"/>
      <c r="P10" s="31">
        <f t="shared" ref="P10:P17" si="7">+F10*G10</f>
        <v>0.25</v>
      </c>
      <c r="Q10" s="31">
        <f t="shared" si="0"/>
        <v>50</v>
      </c>
      <c r="R10" s="31">
        <f t="shared" ref="R10:R17" si="8">I10*J10*E10*(F10+G10*2)</f>
        <v>300</v>
      </c>
      <c r="S10" s="31">
        <f t="shared" si="2"/>
        <v>150</v>
      </c>
      <c r="T10" s="31"/>
      <c r="U10" s="31">
        <f t="shared" ref="U10:U17" si="9">Q10</f>
        <v>50</v>
      </c>
      <c r="V10" s="32"/>
      <c r="W10" s="26"/>
      <c r="X10" s="32">
        <f>S10</f>
        <v>150</v>
      </c>
      <c r="Y10" s="26"/>
      <c r="Z10" s="26"/>
      <c r="AA10" s="32">
        <f>+S10</f>
        <v>150</v>
      </c>
      <c r="AB10" s="26"/>
    </row>
    <row r="11" spans="1:28" ht="29" x14ac:dyDescent="0.35">
      <c r="A11" s="26">
        <v>10</v>
      </c>
      <c r="B11" s="26" t="s">
        <v>1266</v>
      </c>
      <c r="C11" s="26" t="s">
        <v>1324</v>
      </c>
      <c r="D11" s="26" t="s">
        <v>1323</v>
      </c>
      <c r="E11" s="26">
        <v>10</v>
      </c>
      <c r="F11" s="26">
        <v>0.5</v>
      </c>
      <c r="G11" s="26">
        <v>0.5</v>
      </c>
      <c r="H11" s="27" t="s">
        <v>1318</v>
      </c>
      <c r="I11" s="31">
        <v>20</v>
      </c>
      <c r="J11" s="31">
        <v>1</v>
      </c>
      <c r="K11" s="31"/>
      <c r="L11" s="31"/>
      <c r="M11" s="31"/>
      <c r="N11" s="31"/>
      <c r="O11" s="31"/>
      <c r="P11" s="31">
        <f t="shared" si="7"/>
        <v>0.25</v>
      </c>
      <c r="Q11" s="31">
        <f t="shared" si="0"/>
        <v>50</v>
      </c>
      <c r="R11" s="31">
        <f t="shared" si="8"/>
        <v>300</v>
      </c>
      <c r="S11" s="31">
        <f t="shared" si="2"/>
        <v>150</v>
      </c>
      <c r="T11" s="31"/>
      <c r="U11" s="31">
        <f t="shared" si="9"/>
        <v>50</v>
      </c>
      <c r="V11" s="26"/>
      <c r="W11" s="26"/>
      <c r="X11" s="32">
        <f t="shared" ref="X11:X17" si="10">S11</f>
        <v>150</v>
      </c>
      <c r="Y11" s="26"/>
      <c r="Z11" s="26"/>
      <c r="AA11" s="32">
        <f t="shared" ref="AA11:AA17" si="11">+S11</f>
        <v>150</v>
      </c>
      <c r="AB11" s="26"/>
    </row>
    <row r="12" spans="1:28" ht="29" x14ac:dyDescent="0.35">
      <c r="A12" s="26">
        <v>11</v>
      </c>
      <c r="B12" s="26" t="s">
        <v>1314</v>
      </c>
      <c r="C12" s="26" t="s">
        <v>1324</v>
      </c>
      <c r="D12" s="26" t="s">
        <v>1323</v>
      </c>
      <c r="E12" s="26">
        <v>10</v>
      </c>
      <c r="F12" s="26">
        <v>0.5</v>
      </c>
      <c r="G12" s="26">
        <v>0.5</v>
      </c>
      <c r="H12" s="27" t="s">
        <v>1318</v>
      </c>
      <c r="I12" s="31">
        <v>20</v>
      </c>
      <c r="J12" s="31">
        <v>1</v>
      </c>
      <c r="K12" s="31"/>
      <c r="L12" s="31"/>
      <c r="M12" s="31"/>
      <c r="N12" s="31"/>
      <c r="O12" s="31"/>
      <c r="P12" s="31">
        <f t="shared" si="7"/>
        <v>0.25</v>
      </c>
      <c r="Q12" s="31">
        <f t="shared" si="0"/>
        <v>50</v>
      </c>
      <c r="R12" s="31">
        <f t="shared" si="8"/>
        <v>300</v>
      </c>
      <c r="S12" s="31">
        <f t="shared" si="2"/>
        <v>150</v>
      </c>
      <c r="T12" s="31"/>
      <c r="U12" s="31">
        <f t="shared" si="9"/>
        <v>50</v>
      </c>
      <c r="V12" s="32"/>
      <c r="W12" s="26"/>
      <c r="X12" s="32">
        <f t="shared" si="10"/>
        <v>150</v>
      </c>
      <c r="Y12" s="26"/>
      <c r="Z12" s="26"/>
      <c r="AA12" s="32">
        <f t="shared" si="11"/>
        <v>150</v>
      </c>
      <c r="AB12" s="26"/>
    </row>
    <row r="13" spans="1:28" ht="29" x14ac:dyDescent="0.35">
      <c r="A13" s="26">
        <v>12</v>
      </c>
      <c r="B13" s="26" t="s">
        <v>1315</v>
      </c>
      <c r="C13" s="26" t="s">
        <v>1324</v>
      </c>
      <c r="D13" s="26" t="s">
        <v>1323</v>
      </c>
      <c r="E13" s="26">
        <v>10</v>
      </c>
      <c r="F13" s="26">
        <v>0.5</v>
      </c>
      <c r="G13" s="26">
        <v>0.5</v>
      </c>
      <c r="H13" s="27" t="s">
        <v>1318</v>
      </c>
      <c r="I13" s="31">
        <v>20</v>
      </c>
      <c r="J13" s="31">
        <v>1</v>
      </c>
      <c r="K13" s="31"/>
      <c r="L13" s="31"/>
      <c r="M13" s="31"/>
      <c r="N13" s="31"/>
      <c r="O13" s="31"/>
      <c r="P13" s="31">
        <f t="shared" si="7"/>
        <v>0.25</v>
      </c>
      <c r="Q13" s="31">
        <f t="shared" si="0"/>
        <v>50</v>
      </c>
      <c r="R13" s="31">
        <f t="shared" si="8"/>
        <v>300</v>
      </c>
      <c r="S13" s="31">
        <f t="shared" si="2"/>
        <v>150</v>
      </c>
      <c r="T13" s="31"/>
      <c r="U13" s="31">
        <f t="shared" si="9"/>
        <v>50</v>
      </c>
      <c r="V13" s="32"/>
      <c r="W13" s="26"/>
      <c r="X13" s="32">
        <f t="shared" si="10"/>
        <v>150</v>
      </c>
      <c r="Y13" s="26"/>
      <c r="Z13" s="26"/>
      <c r="AA13" s="32">
        <f t="shared" si="11"/>
        <v>150</v>
      </c>
      <c r="AB13" s="26"/>
    </row>
    <row r="14" spans="1:28" ht="29" x14ac:dyDescent="0.35">
      <c r="A14" s="26">
        <v>13</v>
      </c>
      <c r="B14" s="26" t="s">
        <v>1264</v>
      </c>
      <c r="C14" s="26" t="s">
        <v>1325</v>
      </c>
      <c r="D14" s="26" t="s">
        <v>1323</v>
      </c>
      <c r="E14" s="26">
        <v>10</v>
      </c>
      <c r="F14" s="26">
        <v>1</v>
      </c>
      <c r="G14" s="26">
        <v>0.5</v>
      </c>
      <c r="H14" s="27" t="s">
        <v>1318</v>
      </c>
      <c r="I14" s="31">
        <v>20</v>
      </c>
      <c r="J14" s="31">
        <v>1</v>
      </c>
      <c r="K14" s="31"/>
      <c r="L14" s="31"/>
      <c r="M14" s="31"/>
      <c r="N14" s="31"/>
      <c r="O14" s="31"/>
      <c r="P14" s="31">
        <f t="shared" si="7"/>
        <v>0.5</v>
      </c>
      <c r="Q14" s="31">
        <f t="shared" si="0"/>
        <v>100</v>
      </c>
      <c r="R14" s="31">
        <f t="shared" si="8"/>
        <v>400</v>
      </c>
      <c r="S14" s="31">
        <f t="shared" si="2"/>
        <v>200</v>
      </c>
      <c r="T14" s="31"/>
      <c r="U14" s="31">
        <f t="shared" si="9"/>
        <v>100</v>
      </c>
      <c r="V14" s="26"/>
      <c r="W14" s="26"/>
      <c r="X14" s="32">
        <f t="shared" si="10"/>
        <v>200</v>
      </c>
      <c r="Y14" s="26"/>
      <c r="Z14" s="26"/>
      <c r="AA14" s="32">
        <f t="shared" si="11"/>
        <v>200</v>
      </c>
      <c r="AB14" s="26"/>
    </row>
    <row r="15" spans="1:28" ht="29" x14ac:dyDescent="0.35">
      <c r="A15" s="26">
        <v>14</v>
      </c>
      <c r="B15" s="26" t="s">
        <v>1266</v>
      </c>
      <c r="C15" s="26" t="s">
        <v>1325</v>
      </c>
      <c r="D15" s="26" t="s">
        <v>1323</v>
      </c>
      <c r="E15" s="26">
        <v>10</v>
      </c>
      <c r="F15" s="26">
        <v>1</v>
      </c>
      <c r="G15" s="26">
        <v>0.5</v>
      </c>
      <c r="H15" s="27" t="s">
        <v>1318</v>
      </c>
      <c r="I15" s="31">
        <v>20</v>
      </c>
      <c r="J15" s="31">
        <v>1</v>
      </c>
      <c r="K15" s="31"/>
      <c r="L15" s="31"/>
      <c r="M15" s="31"/>
      <c r="N15" s="31"/>
      <c r="O15" s="31"/>
      <c r="P15" s="31">
        <f t="shared" si="7"/>
        <v>0.5</v>
      </c>
      <c r="Q15" s="31">
        <f t="shared" si="0"/>
        <v>100</v>
      </c>
      <c r="R15" s="31">
        <f t="shared" si="8"/>
        <v>400</v>
      </c>
      <c r="S15" s="31">
        <f t="shared" si="2"/>
        <v>200</v>
      </c>
      <c r="T15" s="31"/>
      <c r="U15" s="31">
        <f t="shared" si="9"/>
        <v>100</v>
      </c>
      <c r="V15" s="26"/>
      <c r="W15" s="26"/>
      <c r="X15" s="32">
        <f t="shared" si="10"/>
        <v>200</v>
      </c>
      <c r="Y15" s="26"/>
      <c r="Z15" s="26"/>
      <c r="AA15" s="32">
        <f t="shared" si="11"/>
        <v>200</v>
      </c>
      <c r="AB15" s="26"/>
    </row>
    <row r="16" spans="1:28" ht="29" x14ac:dyDescent="0.35">
      <c r="A16" s="26">
        <v>15</v>
      </c>
      <c r="B16" s="26" t="s">
        <v>1314</v>
      </c>
      <c r="C16" s="26" t="s">
        <v>1325</v>
      </c>
      <c r="D16" s="26" t="s">
        <v>1323</v>
      </c>
      <c r="E16" s="26">
        <v>10</v>
      </c>
      <c r="F16" s="26">
        <v>1</v>
      </c>
      <c r="G16" s="26">
        <v>0.5</v>
      </c>
      <c r="H16" s="27" t="s">
        <v>1318</v>
      </c>
      <c r="I16" s="31">
        <v>20</v>
      </c>
      <c r="J16" s="31">
        <v>1</v>
      </c>
      <c r="K16" s="31"/>
      <c r="L16" s="31"/>
      <c r="M16" s="31"/>
      <c r="N16" s="31"/>
      <c r="O16" s="31"/>
      <c r="P16" s="31">
        <f t="shared" si="7"/>
        <v>0.5</v>
      </c>
      <c r="Q16" s="31">
        <f t="shared" si="0"/>
        <v>100</v>
      </c>
      <c r="R16" s="31">
        <f t="shared" si="8"/>
        <v>400</v>
      </c>
      <c r="S16" s="31">
        <f t="shared" si="2"/>
        <v>200</v>
      </c>
      <c r="T16" s="31"/>
      <c r="U16" s="31">
        <f t="shared" si="9"/>
        <v>100</v>
      </c>
      <c r="V16" s="26"/>
      <c r="W16" s="26"/>
      <c r="X16" s="32">
        <f t="shared" si="10"/>
        <v>200</v>
      </c>
      <c r="Y16" s="26"/>
      <c r="Z16" s="26"/>
      <c r="AA16" s="32">
        <f t="shared" si="11"/>
        <v>200</v>
      </c>
      <c r="AB16" s="26"/>
    </row>
    <row r="17" spans="1:28" ht="29" x14ac:dyDescent="0.35">
      <c r="A17" s="26">
        <v>16</v>
      </c>
      <c r="B17" s="26" t="s">
        <v>1315</v>
      </c>
      <c r="C17" s="26" t="s">
        <v>1325</v>
      </c>
      <c r="D17" s="26" t="s">
        <v>1323</v>
      </c>
      <c r="E17" s="26">
        <v>10</v>
      </c>
      <c r="F17" s="26">
        <v>1</v>
      </c>
      <c r="G17" s="26">
        <v>0.5</v>
      </c>
      <c r="H17" s="27" t="s">
        <v>1318</v>
      </c>
      <c r="I17" s="31">
        <v>20</v>
      </c>
      <c r="J17" s="31">
        <v>1</v>
      </c>
      <c r="K17" s="31"/>
      <c r="L17" s="31"/>
      <c r="M17" s="31"/>
      <c r="N17" s="31"/>
      <c r="O17" s="31"/>
      <c r="P17" s="31">
        <f t="shared" si="7"/>
        <v>0.5</v>
      </c>
      <c r="Q17" s="31">
        <f t="shared" si="0"/>
        <v>100</v>
      </c>
      <c r="R17" s="31">
        <f t="shared" si="8"/>
        <v>400</v>
      </c>
      <c r="S17" s="31">
        <f t="shared" si="2"/>
        <v>200</v>
      </c>
      <c r="T17" s="31"/>
      <c r="U17" s="31">
        <f t="shared" si="9"/>
        <v>100</v>
      </c>
      <c r="V17" s="32"/>
      <c r="W17" s="26"/>
      <c r="X17" s="32">
        <f t="shared" si="10"/>
        <v>200</v>
      </c>
      <c r="Y17" s="26"/>
      <c r="Z17" s="26"/>
      <c r="AA17" s="32">
        <f t="shared" si="11"/>
        <v>200</v>
      </c>
      <c r="AB17" s="26"/>
    </row>
    <row r="18" spans="1:28" ht="29" x14ac:dyDescent="0.35">
      <c r="A18" s="26">
        <v>17</v>
      </c>
      <c r="B18" s="26" t="s">
        <v>1264</v>
      </c>
      <c r="C18" s="26" t="s">
        <v>1326</v>
      </c>
      <c r="D18" s="26" t="s">
        <v>1327</v>
      </c>
      <c r="E18" s="26">
        <v>20</v>
      </c>
      <c r="F18" s="26">
        <v>25</v>
      </c>
      <c r="G18" s="26">
        <v>0.2</v>
      </c>
      <c r="H18" s="27" t="s">
        <v>1318</v>
      </c>
      <c r="I18" s="31">
        <v>1</v>
      </c>
      <c r="J18" s="31">
        <v>1</v>
      </c>
      <c r="K18" s="31"/>
      <c r="L18" s="31"/>
      <c r="M18" s="31"/>
      <c r="N18" s="31"/>
      <c r="O18" s="31"/>
      <c r="P18" s="31">
        <f t="shared" si="6"/>
        <v>500</v>
      </c>
      <c r="Q18" s="31">
        <f t="shared" si="0"/>
        <v>100</v>
      </c>
      <c r="R18" s="31">
        <f>I18*J18*(E18*2+F18*2)</f>
        <v>90</v>
      </c>
      <c r="S18" s="31">
        <f t="shared" si="2"/>
        <v>18</v>
      </c>
      <c r="T18" s="31"/>
      <c r="U18" s="31"/>
      <c r="V18" s="32">
        <f>Q18</f>
        <v>100</v>
      </c>
      <c r="W18" s="26"/>
      <c r="X18" s="26"/>
      <c r="Y18" s="32">
        <f>+P18</f>
        <v>500</v>
      </c>
      <c r="Z18" s="26"/>
      <c r="AA18" s="26"/>
      <c r="AB18" s="32">
        <f>+P18</f>
        <v>500</v>
      </c>
    </row>
    <row r="19" spans="1:28" ht="29" x14ac:dyDescent="0.35">
      <c r="A19" s="26">
        <v>18</v>
      </c>
      <c r="B19" s="26" t="s">
        <v>1266</v>
      </c>
      <c r="C19" s="26" t="s">
        <v>1326</v>
      </c>
      <c r="D19" s="26" t="s">
        <v>1327</v>
      </c>
      <c r="E19" s="26">
        <v>20</v>
      </c>
      <c r="F19" s="26">
        <v>25</v>
      </c>
      <c r="G19" s="26">
        <v>0.2</v>
      </c>
      <c r="H19" s="27" t="s">
        <v>1318</v>
      </c>
      <c r="I19" s="31">
        <v>1</v>
      </c>
      <c r="J19" s="31">
        <v>1</v>
      </c>
      <c r="K19" s="31"/>
      <c r="L19" s="31"/>
      <c r="M19" s="31"/>
      <c r="N19" s="31"/>
      <c r="O19" s="31"/>
      <c r="P19" s="31">
        <f t="shared" si="6"/>
        <v>500</v>
      </c>
      <c r="Q19" s="31">
        <f t="shared" si="0"/>
        <v>100</v>
      </c>
      <c r="R19" s="31">
        <f>I19*J19*(E19*2+F19*2)</f>
        <v>90</v>
      </c>
      <c r="S19" s="31">
        <f t="shared" si="2"/>
        <v>18</v>
      </c>
      <c r="T19" s="31"/>
      <c r="U19" s="31"/>
      <c r="V19" s="32">
        <f>Q19</f>
        <v>100</v>
      </c>
      <c r="W19" s="26"/>
      <c r="X19" s="26"/>
      <c r="Y19" s="32">
        <f>+P19</f>
        <v>500</v>
      </c>
      <c r="Z19" s="26"/>
      <c r="AA19" s="26"/>
      <c r="AB19" s="32">
        <f>+P19</f>
        <v>500</v>
      </c>
    </row>
    <row r="20" spans="1:28" ht="29" x14ac:dyDescent="0.35">
      <c r="A20" s="26">
        <v>19</v>
      </c>
      <c r="B20" s="26" t="s">
        <v>1314</v>
      </c>
      <c r="C20" s="26" t="s">
        <v>1326</v>
      </c>
      <c r="D20" s="26" t="s">
        <v>1327</v>
      </c>
      <c r="E20" s="26">
        <v>20</v>
      </c>
      <c r="F20" s="26">
        <v>25</v>
      </c>
      <c r="G20" s="26">
        <v>0.2</v>
      </c>
      <c r="H20" s="27" t="s">
        <v>1318</v>
      </c>
      <c r="I20" s="31">
        <v>1</v>
      </c>
      <c r="J20" s="31">
        <v>1</v>
      </c>
      <c r="K20" s="31"/>
      <c r="L20" s="31"/>
      <c r="M20" s="31"/>
      <c r="N20" s="31"/>
      <c r="O20" s="31"/>
      <c r="P20" s="31">
        <f t="shared" si="6"/>
        <v>500</v>
      </c>
      <c r="Q20" s="31">
        <f t="shared" si="0"/>
        <v>100</v>
      </c>
      <c r="R20" s="31">
        <f>I20*J20*(E20*2+F20*2)</f>
        <v>90</v>
      </c>
      <c r="S20" s="31">
        <f t="shared" si="2"/>
        <v>18</v>
      </c>
      <c r="T20" s="31"/>
      <c r="U20" s="31"/>
      <c r="V20" s="32">
        <f>Q20</f>
        <v>100</v>
      </c>
      <c r="W20" s="26"/>
      <c r="X20" s="26"/>
      <c r="Y20" s="32">
        <f>+P20</f>
        <v>500</v>
      </c>
      <c r="Z20" s="26"/>
      <c r="AA20" s="26"/>
      <c r="AB20" s="32">
        <f>+P20</f>
        <v>500</v>
      </c>
    </row>
    <row r="21" spans="1:28" ht="29" x14ac:dyDescent="0.35">
      <c r="A21" s="26">
        <v>20</v>
      </c>
      <c r="B21" s="26" t="s">
        <v>1315</v>
      </c>
      <c r="C21" s="26" t="s">
        <v>1326</v>
      </c>
      <c r="D21" s="26" t="s">
        <v>1327</v>
      </c>
      <c r="E21" s="26">
        <v>20</v>
      </c>
      <c r="F21" s="26">
        <v>25</v>
      </c>
      <c r="G21" s="26">
        <v>0.2</v>
      </c>
      <c r="H21" s="27" t="s">
        <v>1318</v>
      </c>
      <c r="I21" s="31">
        <v>1</v>
      </c>
      <c r="J21" s="31">
        <v>1</v>
      </c>
      <c r="K21" s="31"/>
      <c r="L21" s="31"/>
      <c r="M21" s="31"/>
      <c r="N21" s="31"/>
      <c r="O21" s="31"/>
      <c r="P21" s="31">
        <f t="shared" si="6"/>
        <v>500</v>
      </c>
      <c r="Q21" s="31">
        <f t="shared" si="0"/>
        <v>100</v>
      </c>
      <c r="R21" s="31">
        <f>I21*J21*(E21*2+F21*2)</f>
        <v>90</v>
      </c>
      <c r="S21" s="31">
        <f t="shared" si="2"/>
        <v>18</v>
      </c>
      <c r="T21" s="31"/>
      <c r="U21" s="31"/>
      <c r="V21" s="32">
        <f>Q21</f>
        <v>100</v>
      </c>
      <c r="W21" s="26"/>
      <c r="X21" s="26"/>
      <c r="Y21" s="32">
        <f>+P21</f>
        <v>500</v>
      </c>
      <c r="Z21" s="26"/>
      <c r="AA21" s="26"/>
      <c r="AB21" s="32">
        <f>+P21</f>
        <v>500</v>
      </c>
    </row>
    <row r="22" spans="1:28" x14ac:dyDescent="0.35">
      <c r="A22" s="26"/>
      <c r="B22" s="26"/>
      <c r="C22" s="26"/>
      <c r="D22" s="27"/>
      <c r="E22" s="26"/>
      <c r="F22" s="26"/>
      <c r="G22" s="26"/>
      <c r="H22" s="26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2"/>
      <c r="W22" s="26"/>
      <c r="X22" s="26"/>
      <c r="Y22" s="26"/>
      <c r="Z22" s="26"/>
      <c r="AA22" s="26"/>
      <c r="AB22" s="26"/>
    </row>
    <row r="23" spans="1:28" x14ac:dyDescent="0.35">
      <c r="A23" s="26"/>
      <c r="B23" s="26"/>
      <c r="C23" s="26"/>
      <c r="D23" s="27"/>
      <c r="E23" s="26"/>
      <c r="F23" s="26"/>
      <c r="G23" s="26"/>
      <c r="H23" s="26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6"/>
      <c r="W23" s="32"/>
      <c r="X23" s="26"/>
      <c r="Y23" s="26"/>
      <c r="Z23" s="26"/>
      <c r="AA23" s="26"/>
      <c r="AB23" s="26"/>
    </row>
    <row r="24" spans="1:28" s="23" customFormat="1" x14ac:dyDescent="0.35">
      <c r="A24" s="33"/>
      <c r="B24" s="33"/>
      <c r="C24" s="33"/>
      <c r="D24" s="28"/>
      <c r="E24" s="33"/>
      <c r="F24" s="33"/>
      <c r="G24" s="33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W24" s="35"/>
      <c r="X24" s="33"/>
      <c r="Y24" s="33"/>
      <c r="Z24" s="33"/>
      <c r="AA24" s="33"/>
      <c r="AB24" s="33"/>
    </row>
    <row r="25" spans="1:28" s="21" customFormat="1" x14ac:dyDescent="0.35">
      <c r="A25" s="24"/>
      <c r="B25" s="24"/>
      <c r="C25" s="24"/>
      <c r="D25" s="24"/>
      <c r="E25" s="24"/>
      <c r="F25" s="24"/>
      <c r="G25" s="24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30">
        <f t="shared" ref="T25:AB25" si="12">SUM(T2:T24)</f>
        <v>1025</v>
      </c>
      <c r="U25" s="30">
        <f t="shared" si="12"/>
        <v>600</v>
      </c>
      <c r="V25" s="30">
        <f t="shared" si="12"/>
        <v>400</v>
      </c>
      <c r="W25" s="30">
        <f t="shared" si="12"/>
        <v>6850</v>
      </c>
      <c r="X25" s="30">
        <f t="shared" si="12"/>
        <v>1400</v>
      </c>
      <c r="Y25" s="30">
        <f t="shared" si="12"/>
        <v>2000</v>
      </c>
      <c r="Z25" s="30">
        <f t="shared" si="12"/>
        <v>6850</v>
      </c>
      <c r="AA25" s="30">
        <f t="shared" si="12"/>
        <v>1400</v>
      </c>
      <c r="AB25" s="30">
        <f t="shared" si="12"/>
        <v>2000</v>
      </c>
    </row>
    <row r="26" spans="1:28" s="21" customFormat="1" x14ac:dyDescent="0.35">
      <c r="A26" s="24"/>
      <c r="B26" s="24"/>
      <c r="C26" s="24"/>
      <c r="D26" s="24"/>
      <c r="E26" s="24"/>
      <c r="F26" s="24"/>
      <c r="G26" s="24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 t="s">
        <v>12</v>
      </c>
      <c r="U26" s="25" t="s">
        <v>12</v>
      </c>
      <c r="V26" s="25" t="s">
        <v>12</v>
      </c>
      <c r="W26" s="30" t="s">
        <v>10</v>
      </c>
      <c r="X26" s="30" t="s">
        <v>10</v>
      </c>
      <c r="Y26" s="30" t="s">
        <v>10</v>
      </c>
      <c r="Z26" s="30" t="s">
        <v>10</v>
      </c>
      <c r="AA26" s="30" t="s">
        <v>10</v>
      </c>
      <c r="AB26" s="30" t="s">
        <v>10</v>
      </c>
    </row>
    <row r="27" spans="1:28" x14ac:dyDescent="0.35">
      <c r="W27" s="37"/>
    </row>
    <row r="28" spans="1:28" x14ac:dyDescent="0.35">
      <c r="W28" s="37"/>
    </row>
    <row r="29" spans="1:28" x14ac:dyDescent="0.35">
      <c r="W29" s="37"/>
    </row>
    <row r="30" spans="1:28" x14ac:dyDescent="0.35">
      <c r="W30" s="37"/>
    </row>
    <row r="31" spans="1:28" x14ac:dyDescent="0.35">
      <c r="W31" s="37"/>
    </row>
    <row r="32" spans="1:28" s="22" customFormat="1" x14ac:dyDescent="0.35">
      <c r="D32" s="20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W32" s="37"/>
    </row>
    <row r="33" spans="4:23" s="22" customFormat="1" x14ac:dyDescent="0.35">
      <c r="D33" s="20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W33" s="37"/>
    </row>
  </sheetData>
  <pageMargins left="0.7" right="0.7" top="0.75" bottom="0.75" header="0.3" footer="0.3"/>
  <pageSetup scale="3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853D-C12B-4629-AFA2-C59D5927959F}">
  <dimension ref="A1:Y38"/>
  <sheetViews>
    <sheetView view="pageBreakPreview" zoomScaleNormal="70" zoomScaleSheetLayoutView="100" workbookViewId="0">
      <selection sqref="A1:XFD1048576"/>
    </sheetView>
  </sheetViews>
  <sheetFormatPr defaultRowHeight="14.5" x14ac:dyDescent="0.35"/>
  <cols>
    <col min="1" max="1" width="6.08984375" style="22" customWidth="1"/>
    <col min="2" max="2" width="12" style="22" bestFit="1" customWidth="1"/>
    <col min="3" max="3" width="10.6328125" style="22" bestFit="1" customWidth="1"/>
    <col min="4" max="4" width="11" style="20" bestFit="1" customWidth="1"/>
    <col min="5" max="6" width="2.81640625" style="22" bestFit="1" customWidth="1"/>
    <col min="7" max="7" width="2.1796875" style="22" bestFit="1" customWidth="1"/>
    <col min="8" max="8" width="8.81640625" style="22" bestFit="1" customWidth="1"/>
    <col min="9" max="9" width="6.26953125" style="36" bestFit="1" customWidth="1"/>
    <col min="10" max="10" width="6.08984375" style="36" bestFit="1" customWidth="1"/>
    <col min="11" max="11" width="2.1796875" style="36" bestFit="1" customWidth="1"/>
    <col min="12" max="12" width="2.453125" style="36" bestFit="1" customWidth="1"/>
    <col min="13" max="13" width="2.54296875" style="36" bestFit="1" customWidth="1"/>
    <col min="14" max="14" width="2.26953125" style="36" bestFit="1" customWidth="1"/>
    <col min="15" max="15" width="4.36328125" style="36" bestFit="1" customWidth="1"/>
    <col min="16" max="16" width="7.26953125" style="36" bestFit="1" customWidth="1"/>
    <col min="17" max="17" width="7.7265625" style="36" bestFit="1" customWidth="1"/>
    <col min="18" max="18" width="9.6328125" style="36" bestFit="1" customWidth="1"/>
    <col min="19" max="19" width="7.6328125" style="36" bestFit="1" customWidth="1"/>
    <col min="20" max="21" width="9.08984375" style="36" bestFit="1" customWidth="1"/>
    <col min="22" max="22" width="9.08984375" style="22" bestFit="1" customWidth="1"/>
    <col min="23" max="24" width="9.6328125" style="22" bestFit="1" customWidth="1"/>
    <col min="25" max="25" width="10.90625" style="22" bestFit="1" customWidth="1"/>
    <col min="26" max="16384" width="8.7265625" style="20"/>
  </cols>
  <sheetData>
    <row r="1" spans="1:25" s="21" customFormat="1" ht="43.5" x14ac:dyDescent="0.35">
      <c r="A1" s="24" t="s">
        <v>110</v>
      </c>
      <c r="B1" s="24" t="s">
        <v>1260</v>
      </c>
      <c r="C1" s="24" t="s">
        <v>1121</v>
      </c>
      <c r="D1" s="24" t="s">
        <v>2</v>
      </c>
      <c r="E1" s="24" t="s">
        <v>1261</v>
      </c>
      <c r="F1" s="24" t="s">
        <v>1138</v>
      </c>
      <c r="G1" s="24" t="s">
        <v>1262</v>
      </c>
      <c r="H1" s="24" t="s">
        <v>1277</v>
      </c>
      <c r="I1" s="25" t="s">
        <v>1200</v>
      </c>
      <c r="J1" s="25" t="s">
        <v>1200</v>
      </c>
      <c r="K1" s="25" t="s">
        <v>1261</v>
      </c>
      <c r="L1" s="25" t="s">
        <v>1138</v>
      </c>
      <c r="M1" s="25" t="s">
        <v>1262</v>
      </c>
      <c r="N1" s="25" t="s">
        <v>1270</v>
      </c>
      <c r="O1" s="25" t="s">
        <v>1263</v>
      </c>
      <c r="P1" s="25" t="s">
        <v>1267</v>
      </c>
      <c r="Q1" s="25" t="s">
        <v>1269</v>
      </c>
      <c r="R1" s="25" t="s">
        <v>1268</v>
      </c>
      <c r="S1" s="25" t="s">
        <v>1319</v>
      </c>
      <c r="T1" s="24" t="s">
        <v>1208</v>
      </c>
      <c r="U1" s="24" t="s">
        <v>1207</v>
      </c>
      <c r="V1" s="24" t="s">
        <v>1209</v>
      </c>
      <c r="W1" s="24" t="s">
        <v>1210</v>
      </c>
      <c r="X1" s="24" t="s">
        <v>1211</v>
      </c>
      <c r="Y1" s="24" t="s">
        <v>1219</v>
      </c>
    </row>
    <row r="2" spans="1:25" ht="29" x14ac:dyDescent="0.35">
      <c r="A2" s="26">
        <v>1</v>
      </c>
      <c r="B2" s="26" t="s">
        <v>1264</v>
      </c>
      <c r="C2" s="26" t="s">
        <v>1273</v>
      </c>
      <c r="D2" s="26" t="s">
        <v>1328</v>
      </c>
      <c r="E2" s="26">
        <v>10</v>
      </c>
      <c r="F2" s="26">
        <v>10</v>
      </c>
      <c r="G2" s="26">
        <v>3</v>
      </c>
      <c r="H2" s="27" t="s">
        <v>1333</v>
      </c>
      <c r="I2" s="31">
        <v>2</v>
      </c>
      <c r="J2" s="31">
        <v>1</v>
      </c>
      <c r="K2" s="31"/>
      <c r="L2" s="31"/>
      <c r="M2" s="31"/>
      <c r="N2" s="31"/>
      <c r="O2" s="31"/>
      <c r="P2" s="31">
        <f>E2*F2</f>
        <v>100</v>
      </c>
      <c r="Q2" s="31"/>
      <c r="R2" s="31">
        <f>I2*J2*(E2*2+F2*2)</f>
        <v>80</v>
      </c>
      <c r="S2" s="31">
        <f>+R2*G2</f>
        <v>240</v>
      </c>
      <c r="T2" s="31">
        <f>+S2</f>
        <v>240</v>
      </c>
      <c r="U2" s="31"/>
      <c r="V2" s="32"/>
      <c r="W2" s="32"/>
      <c r="X2" s="26"/>
      <c r="Y2" s="26"/>
    </row>
    <row r="3" spans="1:25" ht="29" x14ac:dyDescent="0.35">
      <c r="A3" s="26">
        <v>2</v>
      </c>
      <c r="B3" s="26" t="s">
        <v>1266</v>
      </c>
      <c r="C3" s="26" t="s">
        <v>1274</v>
      </c>
      <c r="D3" s="26" t="s">
        <v>1328</v>
      </c>
      <c r="E3" s="26">
        <v>10</v>
      </c>
      <c r="F3" s="26">
        <v>10</v>
      </c>
      <c r="G3" s="26">
        <v>3</v>
      </c>
      <c r="H3" s="27" t="s">
        <v>1333</v>
      </c>
      <c r="I3" s="31">
        <v>2</v>
      </c>
      <c r="J3" s="31">
        <v>1</v>
      </c>
      <c r="K3" s="31"/>
      <c r="L3" s="31"/>
      <c r="M3" s="31"/>
      <c r="N3" s="31"/>
      <c r="O3" s="31"/>
      <c r="P3" s="31">
        <f t="shared" ref="P3:P16" si="0">E3*F3</f>
        <v>100</v>
      </c>
      <c r="Q3" s="31"/>
      <c r="R3" s="31">
        <f t="shared" ref="R3:R16" si="1">I3*J3*(E3*2+F3*2)</f>
        <v>80</v>
      </c>
      <c r="S3" s="31">
        <f t="shared" ref="S3:S16" si="2">+R3*G3</f>
        <v>240</v>
      </c>
      <c r="T3" s="31">
        <f>+S3</f>
        <v>240</v>
      </c>
      <c r="U3" s="31"/>
      <c r="V3" s="26"/>
      <c r="W3" s="32"/>
      <c r="X3" s="26"/>
      <c r="Y3" s="26"/>
    </row>
    <row r="4" spans="1:25" ht="29" x14ac:dyDescent="0.35">
      <c r="A4" s="26">
        <v>3</v>
      </c>
      <c r="B4" s="26" t="s">
        <v>1314</v>
      </c>
      <c r="C4" s="26" t="s">
        <v>1275</v>
      </c>
      <c r="D4" s="26" t="s">
        <v>1328</v>
      </c>
      <c r="E4" s="26">
        <v>10</v>
      </c>
      <c r="F4" s="26">
        <v>10</v>
      </c>
      <c r="G4" s="26">
        <v>3</v>
      </c>
      <c r="H4" s="27" t="s">
        <v>1333</v>
      </c>
      <c r="I4" s="31">
        <v>2</v>
      </c>
      <c r="J4" s="31">
        <v>1</v>
      </c>
      <c r="K4" s="31"/>
      <c r="L4" s="31"/>
      <c r="M4" s="31"/>
      <c r="N4" s="31"/>
      <c r="O4" s="31"/>
      <c r="P4" s="31">
        <f t="shared" si="0"/>
        <v>100</v>
      </c>
      <c r="Q4" s="31"/>
      <c r="R4" s="31">
        <f t="shared" si="1"/>
        <v>80</v>
      </c>
      <c r="S4" s="31">
        <f t="shared" si="2"/>
        <v>240</v>
      </c>
      <c r="T4" s="31">
        <f>+S4</f>
        <v>240</v>
      </c>
      <c r="U4" s="31"/>
      <c r="V4" s="32"/>
      <c r="W4" s="32"/>
      <c r="X4" s="26"/>
      <c r="Y4" s="26"/>
    </row>
    <row r="5" spans="1:25" ht="29" x14ac:dyDescent="0.35">
      <c r="A5" s="26">
        <v>4</v>
      </c>
      <c r="B5" s="26" t="s">
        <v>1264</v>
      </c>
      <c r="C5" s="26" t="s">
        <v>1273</v>
      </c>
      <c r="D5" s="26" t="s">
        <v>1329</v>
      </c>
      <c r="E5" s="26">
        <v>10</v>
      </c>
      <c r="F5" s="26">
        <v>10</v>
      </c>
      <c r="G5" s="26">
        <v>3</v>
      </c>
      <c r="H5" s="27" t="s">
        <v>1333</v>
      </c>
      <c r="I5" s="31">
        <v>2</v>
      </c>
      <c r="J5" s="31">
        <v>1</v>
      </c>
      <c r="K5" s="31"/>
      <c r="L5" s="31"/>
      <c r="M5" s="31"/>
      <c r="N5" s="31"/>
      <c r="O5" s="31"/>
      <c r="P5" s="31">
        <f t="shared" si="0"/>
        <v>100</v>
      </c>
      <c r="Q5" s="31"/>
      <c r="R5" s="31">
        <f t="shared" si="1"/>
        <v>80</v>
      </c>
      <c r="S5" s="31">
        <f t="shared" si="2"/>
        <v>240</v>
      </c>
      <c r="T5" s="31"/>
      <c r="U5" s="31">
        <f>+S5</f>
        <v>240</v>
      </c>
      <c r="V5" s="26"/>
      <c r="W5" s="32"/>
      <c r="X5" s="26"/>
      <c r="Y5" s="26"/>
    </row>
    <row r="6" spans="1:25" ht="29" x14ac:dyDescent="0.35">
      <c r="A6" s="26">
        <v>5</v>
      </c>
      <c r="B6" s="26" t="s">
        <v>1266</v>
      </c>
      <c r="C6" s="26" t="s">
        <v>1274</v>
      </c>
      <c r="D6" s="26" t="s">
        <v>1329</v>
      </c>
      <c r="E6" s="26">
        <v>10</v>
      </c>
      <c r="F6" s="26">
        <v>10</v>
      </c>
      <c r="G6" s="26">
        <v>3</v>
      </c>
      <c r="H6" s="27" t="s">
        <v>1333</v>
      </c>
      <c r="I6" s="31">
        <v>2</v>
      </c>
      <c r="J6" s="31">
        <v>1</v>
      </c>
      <c r="K6" s="31"/>
      <c r="L6" s="31"/>
      <c r="M6" s="31"/>
      <c r="N6" s="31"/>
      <c r="O6" s="31"/>
      <c r="P6" s="31">
        <f t="shared" si="0"/>
        <v>100</v>
      </c>
      <c r="Q6" s="31"/>
      <c r="R6" s="31">
        <f t="shared" si="1"/>
        <v>80</v>
      </c>
      <c r="S6" s="31">
        <f t="shared" si="2"/>
        <v>240</v>
      </c>
      <c r="T6" s="31"/>
      <c r="U6" s="31">
        <f>+S6</f>
        <v>240</v>
      </c>
      <c r="V6" s="26"/>
      <c r="W6" s="32"/>
      <c r="X6" s="26"/>
      <c r="Y6" s="26"/>
    </row>
    <row r="7" spans="1:25" ht="29" x14ac:dyDescent="0.35">
      <c r="A7" s="26">
        <v>6</v>
      </c>
      <c r="B7" s="26" t="s">
        <v>1314</v>
      </c>
      <c r="C7" s="26" t="s">
        <v>1275</v>
      </c>
      <c r="D7" s="26" t="s">
        <v>1329</v>
      </c>
      <c r="E7" s="26">
        <v>10</v>
      </c>
      <c r="F7" s="26">
        <v>10</v>
      </c>
      <c r="G7" s="26">
        <v>3</v>
      </c>
      <c r="H7" s="27" t="s">
        <v>1333</v>
      </c>
      <c r="I7" s="31">
        <v>2</v>
      </c>
      <c r="J7" s="31">
        <v>1</v>
      </c>
      <c r="K7" s="31"/>
      <c r="L7" s="31"/>
      <c r="M7" s="31"/>
      <c r="N7" s="31"/>
      <c r="O7" s="31"/>
      <c r="P7" s="31">
        <f t="shared" si="0"/>
        <v>100</v>
      </c>
      <c r="Q7" s="31"/>
      <c r="R7" s="31">
        <f t="shared" si="1"/>
        <v>80</v>
      </c>
      <c r="S7" s="31">
        <f t="shared" si="2"/>
        <v>240</v>
      </c>
      <c r="T7" s="31"/>
      <c r="U7" s="31">
        <f>+S7</f>
        <v>240</v>
      </c>
      <c r="V7" s="26"/>
      <c r="W7" s="32"/>
      <c r="X7" s="26"/>
      <c r="Y7" s="26"/>
    </row>
    <row r="8" spans="1:25" ht="29" x14ac:dyDescent="0.35">
      <c r="A8" s="26">
        <v>7</v>
      </c>
      <c r="B8" s="26" t="s">
        <v>1264</v>
      </c>
      <c r="C8" s="26" t="s">
        <v>1273</v>
      </c>
      <c r="D8" s="26" t="s">
        <v>1330</v>
      </c>
      <c r="E8" s="26">
        <v>10</v>
      </c>
      <c r="F8" s="26">
        <v>10</v>
      </c>
      <c r="G8" s="26">
        <v>3</v>
      </c>
      <c r="H8" s="27" t="s">
        <v>1333</v>
      </c>
      <c r="I8" s="31">
        <v>2</v>
      </c>
      <c r="J8" s="31">
        <v>1</v>
      </c>
      <c r="K8" s="31"/>
      <c r="L8" s="31"/>
      <c r="M8" s="31"/>
      <c r="N8" s="31"/>
      <c r="O8" s="31"/>
      <c r="P8" s="31">
        <f t="shared" si="0"/>
        <v>100</v>
      </c>
      <c r="Q8" s="31"/>
      <c r="R8" s="31">
        <f t="shared" si="1"/>
        <v>80</v>
      </c>
      <c r="S8" s="31">
        <f t="shared" si="2"/>
        <v>240</v>
      </c>
      <c r="T8" s="31"/>
      <c r="U8" s="31"/>
      <c r="V8" s="31">
        <f>+S8</f>
        <v>240</v>
      </c>
      <c r="W8" s="26"/>
      <c r="X8" s="32"/>
      <c r="Y8" s="26"/>
    </row>
    <row r="9" spans="1:25" ht="29" x14ac:dyDescent="0.35">
      <c r="A9" s="26">
        <v>8</v>
      </c>
      <c r="B9" s="26" t="s">
        <v>1266</v>
      </c>
      <c r="C9" s="26" t="s">
        <v>1274</v>
      </c>
      <c r="D9" s="26" t="s">
        <v>1330</v>
      </c>
      <c r="E9" s="26">
        <v>10</v>
      </c>
      <c r="F9" s="26">
        <v>10</v>
      </c>
      <c r="G9" s="26">
        <v>3</v>
      </c>
      <c r="H9" s="27" t="s">
        <v>1333</v>
      </c>
      <c r="I9" s="31">
        <v>2</v>
      </c>
      <c r="J9" s="31">
        <v>1</v>
      </c>
      <c r="K9" s="31"/>
      <c r="L9" s="31"/>
      <c r="M9" s="31"/>
      <c r="N9" s="31"/>
      <c r="O9" s="31"/>
      <c r="P9" s="31">
        <f t="shared" si="0"/>
        <v>100</v>
      </c>
      <c r="Q9" s="31"/>
      <c r="R9" s="31">
        <f t="shared" si="1"/>
        <v>80</v>
      </c>
      <c r="S9" s="31">
        <f t="shared" si="2"/>
        <v>240</v>
      </c>
      <c r="T9" s="31"/>
      <c r="U9" s="31"/>
      <c r="V9" s="31">
        <f>+S9</f>
        <v>240</v>
      </c>
      <c r="W9" s="26"/>
      <c r="X9" s="32"/>
      <c r="Y9" s="26"/>
    </row>
    <row r="10" spans="1:25" ht="29" x14ac:dyDescent="0.35">
      <c r="A10" s="26">
        <v>9</v>
      </c>
      <c r="B10" s="26" t="s">
        <v>1314</v>
      </c>
      <c r="C10" s="26" t="s">
        <v>1275</v>
      </c>
      <c r="D10" s="26" t="s">
        <v>1330</v>
      </c>
      <c r="E10" s="26">
        <v>10</v>
      </c>
      <c r="F10" s="26">
        <v>10</v>
      </c>
      <c r="G10" s="26">
        <v>3</v>
      </c>
      <c r="H10" s="27" t="s">
        <v>1333</v>
      </c>
      <c r="I10" s="31">
        <v>2</v>
      </c>
      <c r="J10" s="31">
        <v>1</v>
      </c>
      <c r="K10" s="31"/>
      <c r="L10" s="31"/>
      <c r="M10" s="31"/>
      <c r="N10" s="31"/>
      <c r="O10" s="31"/>
      <c r="P10" s="31">
        <f t="shared" si="0"/>
        <v>100</v>
      </c>
      <c r="Q10" s="31"/>
      <c r="R10" s="31">
        <f t="shared" si="1"/>
        <v>80</v>
      </c>
      <c r="S10" s="31">
        <f t="shared" si="2"/>
        <v>240</v>
      </c>
      <c r="T10" s="31"/>
      <c r="U10" s="31"/>
      <c r="V10" s="31">
        <f>+S10</f>
        <v>240</v>
      </c>
      <c r="W10" s="26"/>
      <c r="X10" s="32"/>
      <c r="Y10" s="26"/>
    </row>
    <row r="11" spans="1:25" x14ac:dyDescent="0.35">
      <c r="A11" s="26">
        <v>10</v>
      </c>
      <c r="B11" s="26" t="s">
        <v>1264</v>
      </c>
      <c r="C11" s="26" t="s">
        <v>1273</v>
      </c>
      <c r="D11" s="26" t="s">
        <v>1331</v>
      </c>
      <c r="E11" s="26">
        <v>10</v>
      </c>
      <c r="F11" s="26">
        <v>10</v>
      </c>
      <c r="G11" s="26">
        <v>3</v>
      </c>
      <c r="H11" s="27" t="s">
        <v>1333</v>
      </c>
      <c r="I11" s="31">
        <v>4</v>
      </c>
      <c r="J11" s="31">
        <v>1</v>
      </c>
      <c r="K11" s="31"/>
      <c r="L11" s="31"/>
      <c r="M11" s="31"/>
      <c r="N11" s="31"/>
      <c r="O11" s="31"/>
      <c r="P11" s="31">
        <f t="shared" si="0"/>
        <v>100</v>
      </c>
      <c r="Q11" s="31"/>
      <c r="R11" s="31">
        <f t="shared" si="1"/>
        <v>160</v>
      </c>
      <c r="S11" s="31">
        <f t="shared" si="2"/>
        <v>480</v>
      </c>
      <c r="T11" s="31"/>
      <c r="U11" s="31"/>
      <c r="V11" s="26"/>
      <c r="W11" s="32">
        <f>+S11</f>
        <v>480</v>
      </c>
      <c r="X11" s="32"/>
      <c r="Y11" s="26"/>
    </row>
    <row r="12" spans="1:25" x14ac:dyDescent="0.35">
      <c r="A12" s="26">
        <v>11</v>
      </c>
      <c r="B12" s="26" t="s">
        <v>1266</v>
      </c>
      <c r="C12" s="26" t="s">
        <v>1274</v>
      </c>
      <c r="D12" s="26" t="s">
        <v>1331</v>
      </c>
      <c r="E12" s="26">
        <v>10</v>
      </c>
      <c r="F12" s="26">
        <v>10</v>
      </c>
      <c r="G12" s="26">
        <v>3</v>
      </c>
      <c r="H12" s="27" t="s">
        <v>1333</v>
      </c>
      <c r="I12" s="31">
        <v>4</v>
      </c>
      <c r="J12" s="31">
        <v>1</v>
      </c>
      <c r="K12" s="31"/>
      <c r="L12" s="31"/>
      <c r="M12" s="31"/>
      <c r="N12" s="31"/>
      <c r="O12" s="31"/>
      <c r="P12" s="31">
        <f t="shared" si="0"/>
        <v>100</v>
      </c>
      <c r="Q12" s="31"/>
      <c r="R12" s="31">
        <f t="shared" si="1"/>
        <v>160</v>
      </c>
      <c r="S12" s="31">
        <f t="shared" si="2"/>
        <v>480</v>
      </c>
      <c r="T12" s="31"/>
      <c r="U12" s="31"/>
      <c r="V12" s="26"/>
      <c r="W12" s="32">
        <f>+S12</f>
        <v>480</v>
      </c>
      <c r="X12" s="32"/>
      <c r="Y12" s="26"/>
    </row>
    <row r="13" spans="1:25" x14ac:dyDescent="0.35">
      <c r="A13" s="26">
        <v>12</v>
      </c>
      <c r="B13" s="26" t="s">
        <v>1314</v>
      </c>
      <c r="C13" s="26" t="s">
        <v>1275</v>
      </c>
      <c r="D13" s="26" t="s">
        <v>1331</v>
      </c>
      <c r="E13" s="26">
        <v>10</v>
      </c>
      <c r="F13" s="26">
        <v>10</v>
      </c>
      <c r="G13" s="26">
        <v>3</v>
      </c>
      <c r="H13" s="27" t="s">
        <v>1333</v>
      </c>
      <c r="I13" s="31">
        <v>4</v>
      </c>
      <c r="J13" s="31">
        <v>1</v>
      </c>
      <c r="K13" s="31"/>
      <c r="L13" s="31"/>
      <c r="M13" s="31"/>
      <c r="N13" s="31"/>
      <c r="O13" s="31"/>
      <c r="P13" s="31">
        <f t="shared" si="0"/>
        <v>100</v>
      </c>
      <c r="Q13" s="31"/>
      <c r="R13" s="31">
        <f t="shared" si="1"/>
        <v>160</v>
      </c>
      <c r="S13" s="31">
        <f t="shared" si="2"/>
        <v>480</v>
      </c>
      <c r="T13" s="31"/>
      <c r="U13" s="31"/>
      <c r="V13" s="26"/>
      <c r="W13" s="32">
        <f>+S13</f>
        <v>480</v>
      </c>
      <c r="X13" s="32"/>
      <c r="Y13" s="26"/>
    </row>
    <row r="14" spans="1:25" x14ac:dyDescent="0.35">
      <c r="A14" s="26">
        <v>13</v>
      </c>
      <c r="B14" s="26" t="s">
        <v>1264</v>
      </c>
      <c r="C14" s="26" t="s">
        <v>1273</v>
      </c>
      <c r="D14" s="26" t="s">
        <v>1332</v>
      </c>
      <c r="E14" s="26">
        <v>10</v>
      </c>
      <c r="F14" s="26">
        <v>10</v>
      </c>
      <c r="G14" s="26">
        <v>3</v>
      </c>
      <c r="H14" s="27" t="s">
        <v>1333</v>
      </c>
      <c r="I14" s="31">
        <v>4</v>
      </c>
      <c r="J14" s="31">
        <v>1</v>
      </c>
      <c r="K14" s="31"/>
      <c r="L14" s="31"/>
      <c r="M14" s="31"/>
      <c r="N14" s="31"/>
      <c r="O14" s="31"/>
      <c r="P14" s="31">
        <f t="shared" si="0"/>
        <v>100</v>
      </c>
      <c r="Q14" s="31"/>
      <c r="R14" s="31">
        <f t="shared" si="1"/>
        <v>160</v>
      </c>
      <c r="S14" s="31">
        <f t="shared" si="2"/>
        <v>480</v>
      </c>
      <c r="T14" s="31"/>
      <c r="U14" s="31"/>
      <c r="V14" s="32"/>
      <c r="W14" s="26"/>
      <c r="X14" s="32">
        <f>+S14</f>
        <v>480</v>
      </c>
      <c r="Y14" s="32"/>
    </row>
    <row r="15" spans="1:25" x14ac:dyDescent="0.35">
      <c r="A15" s="26">
        <v>14</v>
      </c>
      <c r="B15" s="26" t="s">
        <v>1266</v>
      </c>
      <c r="C15" s="26" t="s">
        <v>1274</v>
      </c>
      <c r="D15" s="26" t="s">
        <v>1332</v>
      </c>
      <c r="E15" s="26">
        <v>10</v>
      </c>
      <c r="F15" s="26">
        <v>10</v>
      </c>
      <c r="G15" s="26">
        <v>3</v>
      </c>
      <c r="H15" s="27" t="s">
        <v>1333</v>
      </c>
      <c r="I15" s="31">
        <v>4</v>
      </c>
      <c r="J15" s="31">
        <v>1</v>
      </c>
      <c r="K15" s="31"/>
      <c r="L15" s="31"/>
      <c r="M15" s="31"/>
      <c r="N15" s="31"/>
      <c r="O15" s="31"/>
      <c r="P15" s="31">
        <f t="shared" si="0"/>
        <v>100</v>
      </c>
      <c r="Q15" s="31"/>
      <c r="R15" s="31">
        <f t="shared" si="1"/>
        <v>160</v>
      </c>
      <c r="S15" s="31">
        <f t="shared" si="2"/>
        <v>480</v>
      </c>
      <c r="T15" s="31"/>
      <c r="U15" s="31"/>
      <c r="V15" s="32"/>
      <c r="W15" s="26"/>
      <c r="X15" s="32">
        <f>+S15</f>
        <v>480</v>
      </c>
      <c r="Y15" s="32"/>
    </row>
    <row r="16" spans="1:25" x14ac:dyDescent="0.35">
      <c r="A16" s="26">
        <v>15</v>
      </c>
      <c r="B16" s="26" t="s">
        <v>1314</v>
      </c>
      <c r="C16" s="26" t="s">
        <v>1275</v>
      </c>
      <c r="D16" s="26" t="s">
        <v>1332</v>
      </c>
      <c r="E16" s="26">
        <v>10</v>
      </c>
      <c r="F16" s="26">
        <v>10</v>
      </c>
      <c r="G16" s="26">
        <v>3</v>
      </c>
      <c r="H16" s="27" t="s">
        <v>1333</v>
      </c>
      <c r="I16" s="31">
        <v>4</v>
      </c>
      <c r="J16" s="31">
        <v>1</v>
      </c>
      <c r="K16" s="31"/>
      <c r="L16" s="31"/>
      <c r="M16" s="31"/>
      <c r="N16" s="31"/>
      <c r="O16" s="31"/>
      <c r="P16" s="31">
        <f t="shared" si="0"/>
        <v>100</v>
      </c>
      <c r="Q16" s="31"/>
      <c r="R16" s="31">
        <f t="shared" si="1"/>
        <v>160</v>
      </c>
      <c r="S16" s="31">
        <f t="shared" si="2"/>
        <v>480</v>
      </c>
      <c r="T16" s="31"/>
      <c r="U16" s="31"/>
      <c r="V16" s="32"/>
      <c r="W16" s="26"/>
      <c r="X16" s="32">
        <f>+S16</f>
        <v>480</v>
      </c>
      <c r="Y16" s="32"/>
    </row>
    <row r="17" spans="1:25" x14ac:dyDescent="0.35">
      <c r="A17" s="26">
        <v>16</v>
      </c>
      <c r="B17" s="26" t="s">
        <v>1264</v>
      </c>
      <c r="C17" s="26" t="s">
        <v>1273</v>
      </c>
      <c r="D17" s="26" t="s">
        <v>1309</v>
      </c>
      <c r="E17" s="26">
        <v>10</v>
      </c>
      <c r="F17" s="26">
        <v>10</v>
      </c>
      <c r="G17" s="26">
        <v>3</v>
      </c>
      <c r="H17" s="27" t="s">
        <v>1333</v>
      </c>
      <c r="I17" s="31">
        <v>1</v>
      </c>
      <c r="J17" s="31">
        <v>1</v>
      </c>
      <c r="K17" s="31"/>
      <c r="L17" s="31"/>
      <c r="M17" s="31"/>
      <c r="N17" s="31"/>
      <c r="O17" s="31"/>
      <c r="P17" s="31">
        <f t="shared" ref="P17:P19" si="3">E17*F17</f>
        <v>100</v>
      </c>
      <c r="Q17" s="31"/>
      <c r="R17" s="31">
        <f t="shared" ref="R17:R19" si="4">I17*J17*(E17*2+F17*2)</f>
        <v>40</v>
      </c>
      <c r="S17" s="31">
        <f t="shared" ref="S17:S19" si="5">+R17*G17</f>
        <v>120</v>
      </c>
      <c r="T17" s="31"/>
      <c r="U17" s="31"/>
      <c r="V17" s="32"/>
      <c r="W17" s="26"/>
      <c r="X17" s="32"/>
      <c r="Y17" s="32">
        <f>+P17</f>
        <v>100</v>
      </c>
    </row>
    <row r="18" spans="1:25" x14ac:dyDescent="0.35">
      <c r="A18" s="26">
        <v>17</v>
      </c>
      <c r="B18" s="26" t="s">
        <v>1266</v>
      </c>
      <c r="C18" s="26" t="s">
        <v>1274</v>
      </c>
      <c r="D18" s="26" t="s">
        <v>1309</v>
      </c>
      <c r="E18" s="26">
        <v>10</v>
      </c>
      <c r="F18" s="26">
        <v>10</v>
      </c>
      <c r="G18" s="26">
        <v>3</v>
      </c>
      <c r="H18" s="27" t="s">
        <v>1333</v>
      </c>
      <c r="I18" s="31">
        <v>1</v>
      </c>
      <c r="J18" s="31">
        <v>1</v>
      </c>
      <c r="K18" s="31"/>
      <c r="L18" s="31"/>
      <c r="M18" s="31"/>
      <c r="N18" s="31"/>
      <c r="O18" s="31"/>
      <c r="P18" s="31">
        <f t="shared" si="3"/>
        <v>100</v>
      </c>
      <c r="Q18" s="31"/>
      <c r="R18" s="31">
        <f t="shared" si="4"/>
        <v>40</v>
      </c>
      <c r="S18" s="31">
        <f t="shared" si="5"/>
        <v>120</v>
      </c>
      <c r="T18" s="31"/>
      <c r="U18" s="31"/>
      <c r="V18" s="32"/>
      <c r="W18" s="26"/>
      <c r="X18" s="32"/>
      <c r="Y18" s="32">
        <f>+P18</f>
        <v>100</v>
      </c>
    </row>
    <row r="19" spans="1:25" x14ac:dyDescent="0.35">
      <c r="A19" s="26">
        <v>18</v>
      </c>
      <c r="B19" s="26" t="s">
        <v>1314</v>
      </c>
      <c r="C19" s="26" t="s">
        <v>1275</v>
      </c>
      <c r="D19" s="26" t="s">
        <v>1309</v>
      </c>
      <c r="E19" s="26">
        <v>10</v>
      </c>
      <c r="F19" s="26">
        <v>10</v>
      </c>
      <c r="G19" s="26">
        <v>3</v>
      </c>
      <c r="H19" s="27" t="s">
        <v>1309</v>
      </c>
      <c r="I19" s="31">
        <v>1</v>
      </c>
      <c r="J19" s="31">
        <v>1</v>
      </c>
      <c r="K19" s="31"/>
      <c r="L19" s="31"/>
      <c r="M19" s="31"/>
      <c r="N19" s="31"/>
      <c r="O19" s="31"/>
      <c r="P19" s="31">
        <f t="shared" si="3"/>
        <v>100</v>
      </c>
      <c r="Q19" s="31"/>
      <c r="R19" s="31">
        <f t="shared" si="4"/>
        <v>40</v>
      </c>
      <c r="S19" s="31">
        <f t="shared" si="5"/>
        <v>120</v>
      </c>
      <c r="T19" s="31"/>
      <c r="U19" s="31"/>
      <c r="V19" s="32"/>
      <c r="W19" s="26"/>
      <c r="X19" s="32"/>
      <c r="Y19" s="32">
        <f>+P19</f>
        <v>100</v>
      </c>
    </row>
    <row r="20" spans="1:25" ht="29" x14ac:dyDescent="0.35">
      <c r="A20" s="26">
        <v>19</v>
      </c>
      <c r="B20" s="26" t="s">
        <v>1264</v>
      </c>
      <c r="C20" s="26" t="s">
        <v>1273</v>
      </c>
      <c r="D20" s="26" t="s">
        <v>1328</v>
      </c>
      <c r="E20" s="26">
        <v>1</v>
      </c>
      <c r="F20" s="26"/>
      <c r="G20" s="26">
        <v>2</v>
      </c>
      <c r="H20" s="27" t="s">
        <v>1334</v>
      </c>
      <c r="I20" s="31">
        <v>20</v>
      </c>
      <c r="J20" s="31">
        <v>-1</v>
      </c>
      <c r="K20" s="31"/>
      <c r="L20" s="31"/>
      <c r="M20" s="31"/>
      <c r="N20" s="31"/>
      <c r="O20" s="31"/>
      <c r="P20" s="31">
        <f t="shared" ref="P20:P26" si="6">+E20*G20*I20*J20</f>
        <v>-40</v>
      </c>
      <c r="Q20" s="31"/>
      <c r="R20" s="31"/>
      <c r="S20" s="31"/>
      <c r="T20" s="31">
        <f>+P20</f>
        <v>-40</v>
      </c>
      <c r="U20" s="31"/>
      <c r="V20" s="32"/>
      <c r="W20" s="26"/>
      <c r="X20" s="32"/>
      <c r="Y20" s="32"/>
    </row>
    <row r="21" spans="1:25" ht="29" x14ac:dyDescent="0.35">
      <c r="A21" s="26">
        <v>20</v>
      </c>
      <c r="B21" s="26" t="s">
        <v>1266</v>
      </c>
      <c r="C21" s="26" t="s">
        <v>1274</v>
      </c>
      <c r="D21" s="26" t="s">
        <v>1329</v>
      </c>
      <c r="E21" s="26">
        <v>1</v>
      </c>
      <c r="F21" s="26"/>
      <c r="G21" s="26">
        <v>2</v>
      </c>
      <c r="H21" s="27" t="s">
        <v>1334</v>
      </c>
      <c r="I21" s="31">
        <v>20</v>
      </c>
      <c r="J21" s="31">
        <v>-1</v>
      </c>
      <c r="K21" s="31"/>
      <c r="L21" s="31"/>
      <c r="M21" s="31"/>
      <c r="N21" s="31"/>
      <c r="O21" s="31"/>
      <c r="P21" s="31">
        <f t="shared" si="6"/>
        <v>-40</v>
      </c>
      <c r="Q21" s="31"/>
      <c r="R21" s="31"/>
      <c r="S21" s="31"/>
      <c r="T21" s="31"/>
      <c r="U21" s="31">
        <f>+P21</f>
        <v>-40</v>
      </c>
      <c r="V21" s="32"/>
      <c r="W21" s="26"/>
      <c r="X21" s="32"/>
      <c r="Y21" s="32"/>
    </row>
    <row r="22" spans="1:25" ht="29" x14ac:dyDescent="0.35">
      <c r="A22" s="26">
        <v>21</v>
      </c>
      <c r="B22" s="26" t="s">
        <v>1314</v>
      </c>
      <c r="C22" s="26" t="s">
        <v>1275</v>
      </c>
      <c r="D22" s="26" t="s">
        <v>1330</v>
      </c>
      <c r="E22" s="26">
        <v>1</v>
      </c>
      <c r="F22" s="26"/>
      <c r="G22" s="26">
        <v>2</v>
      </c>
      <c r="H22" s="27" t="s">
        <v>1334</v>
      </c>
      <c r="I22" s="31">
        <v>20</v>
      </c>
      <c r="J22" s="31">
        <v>-1</v>
      </c>
      <c r="K22" s="31"/>
      <c r="L22" s="31"/>
      <c r="M22" s="31"/>
      <c r="N22" s="31"/>
      <c r="O22" s="31"/>
      <c r="P22" s="31">
        <f t="shared" si="6"/>
        <v>-40</v>
      </c>
      <c r="Q22" s="31"/>
      <c r="R22" s="31"/>
      <c r="S22" s="31"/>
      <c r="T22" s="31"/>
      <c r="U22" s="31"/>
      <c r="V22" s="32">
        <f>+P22</f>
        <v>-40</v>
      </c>
      <c r="W22" s="26"/>
      <c r="X22" s="32"/>
      <c r="Y22" s="32"/>
    </row>
    <row r="23" spans="1:25" x14ac:dyDescent="0.35">
      <c r="A23" s="26">
        <v>22</v>
      </c>
      <c r="B23" s="26" t="s">
        <v>1264</v>
      </c>
      <c r="C23" s="26" t="s">
        <v>1273</v>
      </c>
      <c r="D23" s="26" t="s">
        <v>1331</v>
      </c>
      <c r="E23" s="26">
        <v>1</v>
      </c>
      <c r="F23" s="26"/>
      <c r="G23" s="26">
        <v>2</v>
      </c>
      <c r="H23" s="27" t="s">
        <v>1334</v>
      </c>
      <c r="I23" s="31">
        <v>20</v>
      </c>
      <c r="J23" s="31">
        <v>-1</v>
      </c>
      <c r="K23" s="31"/>
      <c r="L23" s="31"/>
      <c r="M23" s="31"/>
      <c r="N23" s="31"/>
      <c r="O23" s="31"/>
      <c r="P23" s="31">
        <f t="shared" si="6"/>
        <v>-40</v>
      </c>
      <c r="Q23" s="31"/>
      <c r="R23" s="31"/>
      <c r="S23" s="31"/>
      <c r="T23" s="31"/>
      <c r="U23" s="31"/>
      <c r="V23" s="32"/>
      <c r="W23" s="32">
        <f>+P23</f>
        <v>-40</v>
      </c>
      <c r="X23" s="32"/>
      <c r="Y23" s="32"/>
    </row>
    <row r="24" spans="1:25" x14ac:dyDescent="0.35">
      <c r="A24" s="26">
        <v>23</v>
      </c>
      <c r="B24" s="26" t="s">
        <v>1266</v>
      </c>
      <c r="C24" s="26" t="s">
        <v>1274</v>
      </c>
      <c r="D24" s="26" t="s">
        <v>1332</v>
      </c>
      <c r="E24" s="26">
        <v>1</v>
      </c>
      <c r="F24" s="26"/>
      <c r="G24" s="26">
        <v>2</v>
      </c>
      <c r="H24" s="27" t="s">
        <v>1334</v>
      </c>
      <c r="I24" s="31">
        <v>20</v>
      </c>
      <c r="J24" s="31">
        <v>-1</v>
      </c>
      <c r="K24" s="31"/>
      <c r="L24" s="31"/>
      <c r="M24" s="31"/>
      <c r="N24" s="31"/>
      <c r="O24" s="31"/>
      <c r="P24" s="31">
        <f t="shared" si="6"/>
        <v>-40</v>
      </c>
      <c r="Q24" s="31"/>
      <c r="R24" s="31"/>
      <c r="S24" s="31"/>
      <c r="T24" s="31"/>
      <c r="U24" s="31"/>
      <c r="V24" s="32"/>
      <c r="W24" s="26"/>
      <c r="X24" s="32">
        <f>+P24</f>
        <v>-40</v>
      </c>
      <c r="Y24" s="32"/>
    </row>
    <row r="25" spans="1:25" x14ac:dyDescent="0.35">
      <c r="A25" s="26">
        <v>22</v>
      </c>
      <c r="B25" s="26" t="s">
        <v>1264</v>
      </c>
      <c r="C25" s="26" t="s">
        <v>1273</v>
      </c>
      <c r="D25" s="26" t="s">
        <v>1331</v>
      </c>
      <c r="E25" s="26">
        <v>1</v>
      </c>
      <c r="F25" s="26"/>
      <c r="G25" s="26">
        <v>1</v>
      </c>
      <c r="H25" s="27" t="s">
        <v>1336</v>
      </c>
      <c r="I25" s="31">
        <v>20</v>
      </c>
      <c r="J25" s="31">
        <v>-1</v>
      </c>
      <c r="K25" s="31"/>
      <c r="L25" s="31"/>
      <c r="M25" s="31"/>
      <c r="N25" s="31"/>
      <c r="O25" s="31"/>
      <c r="P25" s="31">
        <f t="shared" si="6"/>
        <v>-20</v>
      </c>
      <c r="Q25" s="31"/>
      <c r="R25" s="31"/>
      <c r="S25" s="31"/>
      <c r="T25" s="31"/>
      <c r="U25" s="31"/>
      <c r="V25" s="32"/>
      <c r="W25" s="32">
        <f>+P25</f>
        <v>-20</v>
      </c>
      <c r="X25" s="32"/>
      <c r="Y25" s="32"/>
    </row>
    <row r="26" spans="1:25" x14ac:dyDescent="0.35">
      <c r="A26" s="26">
        <v>23</v>
      </c>
      <c r="B26" s="26" t="s">
        <v>1266</v>
      </c>
      <c r="C26" s="26" t="s">
        <v>1274</v>
      </c>
      <c r="D26" s="26" t="s">
        <v>1332</v>
      </c>
      <c r="E26" s="26">
        <v>1</v>
      </c>
      <c r="F26" s="26"/>
      <c r="G26" s="26">
        <v>1</v>
      </c>
      <c r="H26" s="27" t="s">
        <v>1336</v>
      </c>
      <c r="I26" s="31">
        <v>20</v>
      </c>
      <c r="J26" s="31">
        <v>-1</v>
      </c>
      <c r="K26" s="31"/>
      <c r="L26" s="31"/>
      <c r="M26" s="31"/>
      <c r="N26" s="31"/>
      <c r="O26" s="31"/>
      <c r="P26" s="31">
        <f t="shared" si="6"/>
        <v>-20</v>
      </c>
      <c r="Q26" s="31"/>
      <c r="R26" s="31"/>
      <c r="S26" s="31"/>
      <c r="T26" s="31"/>
      <c r="U26" s="31"/>
      <c r="V26" s="32"/>
      <c r="W26" s="26"/>
      <c r="X26" s="32">
        <f>+P26</f>
        <v>-20</v>
      </c>
      <c r="Y26" s="32"/>
    </row>
    <row r="27" spans="1:25" x14ac:dyDescent="0.35">
      <c r="A27" s="26"/>
      <c r="B27" s="26"/>
      <c r="C27" s="26"/>
      <c r="D27" s="27"/>
      <c r="E27" s="26"/>
      <c r="F27" s="26"/>
      <c r="G27" s="26"/>
      <c r="H27" s="26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2"/>
      <c r="W27" s="26"/>
      <c r="X27" s="26"/>
      <c r="Y27" s="26"/>
    </row>
    <row r="28" spans="1:25" x14ac:dyDescent="0.35">
      <c r="A28" s="26"/>
      <c r="B28" s="26"/>
      <c r="C28" s="26"/>
      <c r="D28" s="27"/>
      <c r="E28" s="26"/>
      <c r="F28" s="26"/>
      <c r="G28" s="26"/>
      <c r="H28" s="26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6"/>
      <c r="W28" s="32"/>
      <c r="X28" s="26"/>
      <c r="Y28" s="26"/>
    </row>
    <row r="29" spans="1:25" s="23" customFormat="1" x14ac:dyDescent="0.35">
      <c r="A29" s="33"/>
      <c r="B29" s="33"/>
      <c r="C29" s="33"/>
      <c r="D29" s="28"/>
      <c r="E29" s="33"/>
      <c r="F29" s="33"/>
      <c r="G29" s="33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5"/>
      <c r="W29" s="35"/>
      <c r="X29" s="33"/>
      <c r="Y29" s="33"/>
    </row>
    <row r="30" spans="1:25" s="21" customFormat="1" x14ac:dyDescent="0.35">
      <c r="A30" s="24"/>
      <c r="B30" s="24"/>
      <c r="C30" s="24"/>
      <c r="D30" s="24"/>
      <c r="E30" s="24"/>
      <c r="F30" s="24"/>
      <c r="G30" s="24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30">
        <f t="shared" ref="T30:Y30" si="7">SUM(T2:T29)</f>
        <v>680</v>
      </c>
      <c r="U30" s="30">
        <f t="shared" si="7"/>
        <v>680</v>
      </c>
      <c r="V30" s="30">
        <f t="shared" si="7"/>
        <v>680</v>
      </c>
      <c r="W30" s="30">
        <f t="shared" si="7"/>
        <v>1380</v>
      </c>
      <c r="X30" s="30">
        <f t="shared" si="7"/>
        <v>1380</v>
      </c>
      <c r="Y30" s="30">
        <f t="shared" si="7"/>
        <v>300</v>
      </c>
    </row>
    <row r="31" spans="1:25" s="21" customFormat="1" x14ac:dyDescent="0.35">
      <c r="A31" s="24"/>
      <c r="B31" s="24"/>
      <c r="C31" s="24"/>
      <c r="D31" s="24"/>
      <c r="E31" s="24"/>
      <c r="F31" s="24"/>
      <c r="G31" s="24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 t="s">
        <v>10</v>
      </c>
      <c r="U31" s="25" t="s">
        <v>10</v>
      </c>
      <c r="V31" s="25" t="s">
        <v>10</v>
      </c>
      <c r="W31" s="25" t="s">
        <v>10</v>
      </c>
      <c r="X31" s="25" t="s">
        <v>10</v>
      </c>
      <c r="Y31" s="25" t="s">
        <v>10</v>
      </c>
    </row>
    <row r="32" spans="1:25" x14ac:dyDescent="0.35">
      <c r="W32" s="37"/>
    </row>
    <row r="33" spans="4:23" x14ac:dyDescent="0.35">
      <c r="W33" s="37"/>
    </row>
    <row r="34" spans="4:23" x14ac:dyDescent="0.35">
      <c r="W34" s="37"/>
    </row>
    <row r="35" spans="4:23" x14ac:dyDescent="0.35">
      <c r="W35" s="37"/>
    </row>
    <row r="36" spans="4:23" x14ac:dyDescent="0.35">
      <c r="W36" s="37"/>
    </row>
    <row r="37" spans="4:23" s="22" customFormat="1" x14ac:dyDescent="0.35">
      <c r="D37" s="20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W37" s="37"/>
    </row>
    <row r="38" spans="4:23" s="22" customFormat="1" x14ac:dyDescent="0.35">
      <c r="D38" s="20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W38" s="37"/>
    </row>
  </sheetData>
  <pageMargins left="0.7" right="0.7" top="0.75" bottom="0.75" header="0.3" footer="0.3"/>
  <pageSetup scale="3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6263-3F49-46FC-A920-3E5805D556A5}">
  <dimension ref="A1:AE71"/>
  <sheetViews>
    <sheetView view="pageBreakPreview" zoomScaleNormal="70" zoomScaleSheetLayoutView="100" workbookViewId="0">
      <pane ySplit="1" topLeftCell="A3" activePane="bottomLeft" state="frozen"/>
      <selection pane="bottomLeft" sqref="A1:XFD1048576"/>
    </sheetView>
  </sheetViews>
  <sheetFormatPr defaultRowHeight="14.5" x14ac:dyDescent="0.35"/>
  <cols>
    <col min="1" max="1" width="6.08984375" style="22" customWidth="1"/>
    <col min="2" max="2" width="12" style="22" bestFit="1" customWidth="1"/>
    <col min="3" max="3" width="10.6328125" style="22" bestFit="1" customWidth="1"/>
    <col min="4" max="4" width="12.453125" style="20" bestFit="1" customWidth="1"/>
    <col min="5" max="5" width="3.36328125" style="22" bestFit="1" customWidth="1"/>
    <col min="6" max="6" width="4.36328125" style="22" bestFit="1" customWidth="1"/>
    <col min="7" max="7" width="3.36328125" style="22" bestFit="1" customWidth="1"/>
    <col min="8" max="8" width="10.08984375" style="22" bestFit="1" customWidth="1"/>
    <col min="9" max="10" width="6.26953125" style="36" bestFit="1" customWidth="1"/>
    <col min="11" max="11" width="2.1796875" style="36" bestFit="1" customWidth="1"/>
    <col min="12" max="12" width="2.453125" style="36" bestFit="1" customWidth="1"/>
    <col min="13" max="13" width="2.54296875" style="36" bestFit="1" customWidth="1"/>
    <col min="14" max="14" width="2.26953125" style="36" bestFit="1" customWidth="1"/>
    <col min="15" max="15" width="4.36328125" style="36" bestFit="1" customWidth="1"/>
    <col min="16" max="16" width="7.26953125" style="36" bestFit="1" customWidth="1"/>
    <col min="17" max="17" width="7.7265625" style="36" bestFit="1" customWidth="1"/>
    <col min="18" max="18" width="9.6328125" style="36" bestFit="1" customWidth="1"/>
    <col min="19" max="19" width="8.7265625" style="36" bestFit="1" customWidth="1"/>
    <col min="20" max="21" width="9.36328125" style="36" bestFit="1" customWidth="1"/>
    <col min="22" max="22" width="9.36328125" style="22" bestFit="1" customWidth="1"/>
    <col min="23" max="23" width="13.1796875" style="22" bestFit="1" customWidth="1"/>
    <col min="24" max="24" width="16.08984375" style="22" bestFit="1" customWidth="1"/>
    <col min="25" max="25" width="12.54296875" style="22" bestFit="1" customWidth="1"/>
    <col min="26" max="26" width="15.6328125" style="20" bestFit="1" customWidth="1"/>
    <col min="27" max="27" width="15.26953125" style="20" bestFit="1" customWidth="1"/>
    <col min="28" max="28" width="17.26953125" style="20" bestFit="1" customWidth="1"/>
    <col min="29" max="30" width="12.54296875" style="20" bestFit="1" customWidth="1"/>
    <col min="31" max="31" width="8.81640625" style="20" bestFit="1" customWidth="1"/>
    <col min="32" max="16384" width="8.7265625" style="20"/>
  </cols>
  <sheetData>
    <row r="1" spans="1:31" s="21" customFormat="1" ht="43.5" x14ac:dyDescent="0.35">
      <c r="A1" s="24" t="s">
        <v>110</v>
      </c>
      <c r="B1" s="24" t="s">
        <v>1260</v>
      </c>
      <c r="C1" s="24" t="s">
        <v>1121</v>
      </c>
      <c r="D1" s="24" t="s">
        <v>2</v>
      </c>
      <c r="E1" s="24" t="s">
        <v>1261</v>
      </c>
      <c r="F1" s="24" t="s">
        <v>1138</v>
      </c>
      <c r="G1" s="24" t="s">
        <v>1262</v>
      </c>
      <c r="H1" s="24" t="s">
        <v>1277</v>
      </c>
      <c r="I1" s="25" t="s">
        <v>1200</v>
      </c>
      <c r="J1" s="25" t="s">
        <v>1200</v>
      </c>
      <c r="K1" s="25" t="s">
        <v>1261</v>
      </c>
      <c r="L1" s="25" t="s">
        <v>1138</v>
      </c>
      <c r="M1" s="25" t="s">
        <v>1262</v>
      </c>
      <c r="N1" s="25" t="s">
        <v>1270</v>
      </c>
      <c r="O1" s="25" t="s">
        <v>1263</v>
      </c>
      <c r="P1" s="25" t="s">
        <v>1267</v>
      </c>
      <c r="Q1" s="25" t="s">
        <v>1269</v>
      </c>
      <c r="R1" s="25" t="s">
        <v>1268</v>
      </c>
      <c r="S1" s="25" t="s">
        <v>1319</v>
      </c>
      <c r="T1" s="24" t="s">
        <v>1197</v>
      </c>
      <c r="U1" s="24" t="s">
        <v>1198</v>
      </c>
      <c r="V1" s="24" t="s">
        <v>1199</v>
      </c>
      <c r="W1" s="24" t="s">
        <v>1212</v>
      </c>
      <c r="X1" s="24" t="s">
        <v>1213</v>
      </c>
      <c r="Y1" s="24" t="s">
        <v>1214</v>
      </c>
      <c r="Z1" s="24" t="s">
        <v>1215</v>
      </c>
      <c r="AA1" s="24" t="s">
        <v>1216</v>
      </c>
      <c r="AB1" s="24" t="s">
        <v>1217</v>
      </c>
      <c r="AC1" s="24" t="s">
        <v>1252</v>
      </c>
      <c r="AD1" s="24" t="s">
        <v>1253</v>
      </c>
      <c r="AE1" s="24" t="s">
        <v>1230</v>
      </c>
    </row>
    <row r="2" spans="1:31" ht="29" x14ac:dyDescent="0.35">
      <c r="A2" s="26">
        <v>1</v>
      </c>
      <c r="B2" s="26" t="s">
        <v>1264</v>
      </c>
      <c r="C2" s="26" t="s">
        <v>1316</v>
      </c>
      <c r="D2" s="26" t="s">
        <v>1265</v>
      </c>
      <c r="E2" s="26">
        <v>0.5</v>
      </c>
      <c r="F2" s="26">
        <v>0.5</v>
      </c>
      <c r="G2" s="26">
        <v>4</v>
      </c>
      <c r="H2" s="27" t="s">
        <v>1197</v>
      </c>
      <c r="I2" s="31">
        <v>10</v>
      </c>
      <c r="J2" s="31">
        <v>10</v>
      </c>
      <c r="K2" s="31"/>
      <c r="L2" s="31"/>
      <c r="M2" s="31"/>
      <c r="N2" s="31"/>
      <c r="O2" s="31"/>
      <c r="P2" s="31">
        <f>E2*F2*I2*J2</f>
        <v>25</v>
      </c>
      <c r="Q2" s="31"/>
      <c r="R2" s="31">
        <f>(E2*2+F2*2)*I2*J2</f>
        <v>200</v>
      </c>
      <c r="S2" s="31">
        <f>+R2*G2</f>
        <v>800</v>
      </c>
      <c r="T2" s="31">
        <f t="shared" ref="T2:T7" si="0">+S2</f>
        <v>800</v>
      </c>
      <c r="U2" s="31"/>
      <c r="V2" s="32"/>
      <c r="W2" s="32"/>
      <c r="X2" s="26"/>
      <c r="Y2" s="26"/>
      <c r="Z2" s="26"/>
      <c r="AA2" s="26"/>
      <c r="AB2" s="26"/>
      <c r="AC2" s="26"/>
      <c r="AD2" s="26"/>
      <c r="AE2" s="26"/>
    </row>
    <row r="3" spans="1:31" ht="29" x14ac:dyDescent="0.35">
      <c r="A3" s="26">
        <v>2</v>
      </c>
      <c r="B3" s="26" t="s">
        <v>1266</v>
      </c>
      <c r="C3" s="26" t="s">
        <v>1316</v>
      </c>
      <c r="D3" s="26" t="s">
        <v>1265</v>
      </c>
      <c r="E3" s="26">
        <v>0.5</v>
      </c>
      <c r="F3" s="26">
        <v>0.5</v>
      </c>
      <c r="G3" s="26">
        <v>4</v>
      </c>
      <c r="H3" s="27" t="s">
        <v>1197</v>
      </c>
      <c r="I3" s="31">
        <v>10</v>
      </c>
      <c r="J3" s="31">
        <v>10</v>
      </c>
      <c r="K3" s="31"/>
      <c r="L3" s="31"/>
      <c r="M3" s="31"/>
      <c r="N3" s="31"/>
      <c r="O3" s="31"/>
      <c r="P3" s="31">
        <f t="shared" ref="P3:P16" si="1">E3*F3*I3*J3</f>
        <v>25</v>
      </c>
      <c r="Q3" s="31"/>
      <c r="R3" s="31">
        <f t="shared" ref="R3:R7" si="2">(E3*2+F3*2)*I3*J3</f>
        <v>200</v>
      </c>
      <c r="S3" s="31">
        <f t="shared" ref="S3:S7" si="3">+R3*G3</f>
        <v>800</v>
      </c>
      <c r="T3" s="31">
        <f t="shared" si="0"/>
        <v>800</v>
      </c>
      <c r="U3" s="31"/>
      <c r="V3" s="26"/>
      <c r="W3" s="32"/>
      <c r="X3" s="26"/>
      <c r="Y3" s="26"/>
      <c r="Z3" s="26"/>
      <c r="AA3" s="26"/>
      <c r="AB3" s="26"/>
      <c r="AC3" s="26"/>
      <c r="AD3" s="26"/>
      <c r="AE3" s="26"/>
    </row>
    <row r="4" spans="1:31" ht="29" x14ac:dyDescent="0.35">
      <c r="A4" s="26">
        <v>3</v>
      </c>
      <c r="B4" s="26" t="s">
        <v>1314</v>
      </c>
      <c r="C4" s="26" t="s">
        <v>1316</v>
      </c>
      <c r="D4" s="26" t="s">
        <v>1265</v>
      </c>
      <c r="E4" s="26">
        <v>0.5</v>
      </c>
      <c r="F4" s="26">
        <v>0.5</v>
      </c>
      <c r="G4" s="26">
        <v>4</v>
      </c>
      <c r="H4" s="27" t="s">
        <v>1197</v>
      </c>
      <c r="I4" s="31">
        <v>10</v>
      </c>
      <c r="J4" s="31">
        <v>10</v>
      </c>
      <c r="K4" s="31"/>
      <c r="L4" s="31"/>
      <c r="M4" s="31"/>
      <c r="N4" s="31"/>
      <c r="O4" s="31"/>
      <c r="P4" s="31">
        <f t="shared" si="1"/>
        <v>25</v>
      </c>
      <c r="Q4" s="31"/>
      <c r="R4" s="31">
        <f t="shared" si="2"/>
        <v>200</v>
      </c>
      <c r="S4" s="31">
        <f t="shared" si="3"/>
        <v>800</v>
      </c>
      <c r="T4" s="31">
        <f t="shared" si="0"/>
        <v>800</v>
      </c>
      <c r="U4" s="31"/>
      <c r="V4" s="32"/>
      <c r="W4" s="32"/>
      <c r="X4" s="26"/>
      <c r="Y4" s="26"/>
      <c r="Z4" s="26"/>
      <c r="AA4" s="26"/>
      <c r="AB4" s="26"/>
      <c r="AC4" s="26"/>
      <c r="AD4" s="26"/>
      <c r="AE4" s="26"/>
    </row>
    <row r="5" spans="1:31" ht="29" x14ac:dyDescent="0.35">
      <c r="A5" s="26">
        <v>4</v>
      </c>
      <c r="B5" s="26" t="s">
        <v>1264</v>
      </c>
      <c r="C5" s="26" t="s">
        <v>1317</v>
      </c>
      <c r="D5" s="26" t="s">
        <v>1265</v>
      </c>
      <c r="E5" s="26">
        <v>1</v>
      </c>
      <c r="F5" s="26">
        <v>0.5</v>
      </c>
      <c r="G5" s="26">
        <v>4</v>
      </c>
      <c r="H5" s="27" t="s">
        <v>1197</v>
      </c>
      <c r="I5" s="31">
        <v>10</v>
      </c>
      <c r="J5" s="31">
        <v>10</v>
      </c>
      <c r="K5" s="31"/>
      <c r="L5" s="31"/>
      <c r="M5" s="31"/>
      <c r="N5" s="31"/>
      <c r="O5" s="31"/>
      <c r="P5" s="31">
        <f t="shared" si="1"/>
        <v>50</v>
      </c>
      <c r="Q5" s="31"/>
      <c r="R5" s="31">
        <f t="shared" si="2"/>
        <v>300</v>
      </c>
      <c r="S5" s="31">
        <f t="shared" si="3"/>
        <v>1200</v>
      </c>
      <c r="T5" s="31">
        <f t="shared" si="0"/>
        <v>1200</v>
      </c>
      <c r="U5" s="31"/>
      <c r="V5" s="26"/>
      <c r="W5" s="32"/>
      <c r="X5" s="26"/>
      <c r="Y5" s="26"/>
      <c r="Z5" s="26"/>
      <c r="AA5" s="26"/>
      <c r="AB5" s="26"/>
      <c r="AC5" s="26"/>
      <c r="AD5" s="26"/>
      <c r="AE5" s="26"/>
    </row>
    <row r="6" spans="1:31" ht="29" x14ac:dyDescent="0.35">
      <c r="A6" s="26">
        <v>5</v>
      </c>
      <c r="B6" s="26" t="s">
        <v>1266</v>
      </c>
      <c r="C6" s="26" t="s">
        <v>1317</v>
      </c>
      <c r="D6" s="26" t="s">
        <v>1265</v>
      </c>
      <c r="E6" s="26">
        <v>1</v>
      </c>
      <c r="F6" s="26">
        <v>0.5</v>
      </c>
      <c r="G6" s="26">
        <v>4</v>
      </c>
      <c r="H6" s="27" t="s">
        <v>1197</v>
      </c>
      <c r="I6" s="31">
        <v>10</v>
      </c>
      <c r="J6" s="31">
        <v>10</v>
      </c>
      <c r="K6" s="31"/>
      <c r="L6" s="31"/>
      <c r="M6" s="31"/>
      <c r="N6" s="31"/>
      <c r="O6" s="31"/>
      <c r="P6" s="31">
        <f t="shared" si="1"/>
        <v>50</v>
      </c>
      <c r="Q6" s="31"/>
      <c r="R6" s="31">
        <f t="shared" si="2"/>
        <v>300</v>
      </c>
      <c r="S6" s="31">
        <f t="shared" si="3"/>
        <v>1200</v>
      </c>
      <c r="T6" s="31">
        <f t="shared" si="0"/>
        <v>1200</v>
      </c>
      <c r="U6" s="31"/>
      <c r="V6" s="26"/>
      <c r="W6" s="32"/>
      <c r="X6" s="26"/>
      <c r="Y6" s="26"/>
      <c r="Z6" s="26"/>
      <c r="AA6" s="26"/>
      <c r="AB6" s="26"/>
      <c r="AC6" s="26"/>
      <c r="AD6" s="26"/>
      <c r="AE6" s="26"/>
    </row>
    <row r="7" spans="1:31" ht="29" x14ac:dyDescent="0.35">
      <c r="A7" s="26">
        <v>6</v>
      </c>
      <c r="B7" s="26" t="s">
        <v>1314</v>
      </c>
      <c r="C7" s="26" t="s">
        <v>1317</v>
      </c>
      <c r="D7" s="26" t="s">
        <v>1265</v>
      </c>
      <c r="E7" s="26">
        <v>1</v>
      </c>
      <c r="F7" s="26">
        <v>0.5</v>
      </c>
      <c r="G7" s="26">
        <v>4</v>
      </c>
      <c r="H7" s="27" t="s">
        <v>1197</v>
      </c>
      <c r="I7" s="31">
        <v>10</v>
      </c>
      <c r="J7" s="31">
        <v>10</v>
      </c>
      <c r="K7" s="31"/>
      <c r="L7" s="31"/>
      <c r="M7" s="31"/>
      <c r="N7" s="31"/>
      <c r="O7" s="31"/>
      <c r="P7" s="31">
        <f t="shared" si="1"/>
        <v>50</v>
      </c>
      <c r="Q7" s="31"/>
      <c r="R7" s="31">
        <f t="shared" si="2"/>
        <v>300</v>
      </c>
      <c r="S7" s="31">
        <f t="shared" si="3"/>
        <v>1200</v>
      </c>
      <c r="T7" s="31">
        <f t="shared" si="0"/>
        <v>1200</v>
      </c>
      <c r="U7" s="31"/>
      <c r="V7" s="31"/>
      <c r="W7" s="26"/>
      <c r="X7" s="32"/>
      <c r="Y7" s="26"/>
      <c r="Z7" s="26"/>
      <c r="AA7" s="26"/>
      <c r="AB7" s="26"/>
      <c r="AC7" s="26"/>
      <c r="AD7" s="26"/>
      <c r="AE7" s="26"/>
    </row>
    <row r="8" spans="1:31" ht="29" x14ac:dyDescent="0.35">
      <c r="A8" s="26">
        <v>7</v>
      </c>
      <c r="B8" s="26" t="s">
        <v>1264</v>
      </c>
      <c r="C8" s="26" t="s">
        <v>1324</v>
      </c>
      <c r="D8" s="26" t="s">
        <v>1323</v>
      </c>
      <c r="E8" s="26">
        <v>10</v>
      </c>
      <c r="F8" s="26">
        <v>0.5</v>
      </c>
      <c r="G8" s="26">
        <v>0.5</v>
      </c>
      <c r="H8" s="27" t="s">
        <v>1198</v>
      </c>
      <c r="I8" s="31">
        <v>20</v>
      </c>
      <c r="J8" s="31">
        <v>1</v>
      </c>
      <c r="K8" s="31"/>
      <c r="L8" s="31"/>
      <c r="M8" s="31"/>
      <c r="N8" s="31"/>
      <c r="O8" s="31"/>
      <c r="P8" s="31">
        <f t="shared" si="1"/>
        <v>100</v>
      </c>
      <c r="Q8" s="31"/>
      <c r="R8" s="31">
        <f t="shared" ref="R8:R13" si="4">(G8*2+F8*2)*I8*J8</f>
        <v>40</v>
      </c>
      <c r="S8" s="31">
        <f t="shared" ref="S8:S13" si="5">+R8*E8</f>
        <v>400</v>
      </c>
      <c r="T8" s="31"/>
      <c r="U8" s="31">
        <f t="shared" ref="U8:U13" si="6">+S8</f>
        <v>400</v>
      </c>
      <c r="V8" s="31"/>
      <c r="W8" s="26"/>
      <c r="X8" s="32"/>
      <c r="Y8" s="26"/>
      <c r="Z8" s="26"/>
      <c r="AA8" s="26"/>
      <c r="AB8" s="26"/>
      <c r="AC8" s="26"/>
      <c r="AD8" s="26"/>
      <c r="AE8" s="26"/>
    </row>
    <row r="9" spans="1:31" ht="29" x14ac:dyDescent="0.35">
      <c r="A9" s="26">
        <v>8</v>
      </c>
      <c r="B9" s="26" t="s">
        <v>1266</v>
      </c>
      <c r="C9" s="26" t="s">
        <v>1324</v>
      </c>
      <c r="D9" s="26" t="s">
        <v>1323</v>
      </c>
      <c r="E9" s="26">
        <v>10</v>
      </c>
      <c r="F9" s="26">
        <v>0.5</v>
      </c>
      <c r="G9" s="26">
        <v>0.5</v>
      </c>
      <c r="H9" s="27" t="s">
        <v>1198</v>
      </c>
      <c r="I9" s="31">
        <v>20</v>
      </c>
      <c r="J9" s="31">
        <v>1</v>
      </c>
      <c r="K9" s="31"/>
      <c r="L9" s="31"/>
      <c r="M9" s="31"/>
      <c r="N9" s="31"/>
      <c r="O9" s="31"/>
      <c r="P9" s="31">
        <f t="shared" si="1"/>
        <v>100</v>
      </c>
      <c r="Q9" s="31"/>
      <c r="R9" s="31">
        <f t="shared" si="4"/>
        <v>40</v>
      </c>
      <c r="S9" s="31">
        <f t="shared" si="5"/>
        <v>400</v>
      </c>
      <c r="T9" s="31"/>
      <c r="U9" s="31">
        <f t="shared" si="6"/>
        <v>400</v>
      </c>
      <c r="V9" s="26"/>
      <c r="W9" s="32"/>
      <c r="X9" s="32"/>
      <c r="Y9" s="26"/>
      <c r="Z9" s="26"/>
      <c r="AA9" s="26"/>
      <c r="AB9" s="26"/>
      <c r="AC9" s="26"/>
      <c r="AD9" s="26"/>
      <c r="AE9" s="26"/>
    </row>
    <row r="10" spans="1:31" ht="29" x14ac:dyDescent="0.35">
      <c r="A10" s="26">
        <v>9</v>
      </c>
      <c r="B10" s="26" t="s">
        <v>1314</v>
      </c>
      <c r="C10" s="26" t="s">
        <v>1324</v>
      </c>
      <c r="D10" s="26" t="s">
        <v>1323</v>
      </c>
      <c r="E10" s="26">
        <v>10</v>
      </c>
      <c r="F10" s="26">
        <v>0.5</v>
      </c>
      <c r="G10" s="26">
        <v>0.5</v>
      </c>
      <c r="H10" s="27" t="s">
        <v>1198</v>
      </c>
      <c r="I10" s="31">
        <v>20</v>
      </c>
      <c r="J10" s="31">
        <v>1</v>
      </c>
      <c r="K10" s="31"/>
      <c r="L10" s="31"/>
      <c r="M10" s="31"/>
      <c r="N10" s="31"/>
      <c r="O10" s="31"/>
      <c r="P10" s="31">
        <f t="shared" si="1"/>
        <v>100</v>
      </c>
      <c r="Q10" s="31"/>
      <c r="R10" s="31">
        <f t="shared" si="4"/>
        <v>40</v>
      </c>
      <c r="S10" s="31">
        <f t="shared" si="5"/>
        <v>400</v>
      </c>
      <c r="T10" s="31"/>
      <c r="U10" s="31">
        <f t="shared" si="6"/>
        <v>400</v>
      </c>
      <c r="V10" s="26"/>
      <c r="W10" s="32"/>
      <c r="X10" s="32"/>
      <c r="Y10" s="26"/>
      <c r="Z10" s="26"/>
      <c r="AA10" s="26"/>
      <c r="AB10" s="26"/>
      <c r="AC10" s="26"/>
      <c r="AD10" s="26"/>
      <c r="AE10" s="26"/>
    </row>
    <row r="11" spans="1:31" ht="29" x14ac:dyDescent="0.35">
      <c r="A11" s="26">
        <v>10</v>
      </c>
      <c r="B11" s="26" t="s">
        <v>1264</v>
      </c>
      <c r="C11" s="26" t="s">
        <v>1325</v>
      </c>
      <c r="D11" s="26" t="s">
        <v>1323</v>
      </c>
      <c r="E11" s="26">
        <v>10</v>
      </c>
      <c r="F11" s="26">
        <v>1</v>
      </c>
      <c r="G11" s="26">
        <v>0.5</v>
      </c>
      <c r="H11" s="27" t="s">
        <v>1198</v>
      </c>
      <c r="I11" s="31">
        <v>20</v>
      </c>
      <c r="J11" s="31">
        <v>1</v>
      </c>
      <c r="K11" s="31"/>
      <c r="L11" s="31"/>
      <c r="M11" s="31"/>
      <c r="N11" s="31"/>
      <c r="O11" s="31"/>
      <c r="P11" s="31">
        <f t="shared" si="1"/>
        <v>200</v>
      </c>
      <c r="Q11" s="31"/>
      <c r="R11" s="31">
        <f t="shared" si="4"/>
        <v>60</v>
      </c>
      <c r="S11" s="31">
        <f t="shared" si="5"/>
        <v>600</v>
      </c>
      <c r="T11" s="31"/>
      <c r="U11" s="31">
        <f t="shared" si="6"/>
        <v>600</v>
      </c>
      <c r="V11" s="32"/>
      <c r="W11" s="26"/>
      <c r="X11" s="32"/>
      <c r="Y11" s="32"/>
      <c r="Z11" s="32"/>
      <c r="AA11" s="32"/>
      <c r="AB11" s="32"/>
      <c r="AC11" s="32"/>
      <c r="AD11" s="32"/>
      <c r="AE11" s="32"/>
    </row>
    <row r="12" spans="1:31" ht="29" x14ac:dyDescent="0.35">
      <c r="A12" s="26">
        <v>11</v>
      </c>
      <c r="B12" s="26" t="s">
        <v>1266</v>
      </c>
      <c r="C12" s="26" t="s">
        <v>1325</v>
      </c>
      <c r="D12" s="26" t="s">
        <v>1323</v>
      </c>
      <c r="E12" s="26">
        <v>10</v>
      </c>
      <c r="F12" s="26">
        <v>1</v>
      </c>
      <c r="G12" s="26">
        <v>0.5</v>
      </c>
      <c r="H12" s="27" t="s">
        <v>1198</v>
      </c>
      <c r="I12" s="31">
        <v>20</v>
      </c>
      <c r="J12" s="31">
        <v>1</v>
      </c>
      <c r="K12" s="31"/>
      <c r="L12" s="31"/>
      <c r="M12" s="31"/>
      <c r="N12" s="31"/>
      <c r="O12" s="31"/>
      <c r="P12" s="31">
        <f t="shared" si="1"/>
        <v>200</v>
      </c>
      <c r="Q12" s="31"/>
      <c r="R12" s="31">
        <f t="shared" si="4"/>
        <v>60</v>
      </c>
      <c r="S12" s="31">
        <f t="shared" si="5"/>
        <v>600</v>
      </c>
      <c r="T12" s="31"/>
      <c r="U12" s="31">
        <f t="shared" si="6"/>
        <v>600</v>
      </c>
      <c r="V12" s="32"/>
      <c r="W12" s="26"/>
      <c r="X12" s="32"/>
      <c r="Y12" s="32"/>
      <c r="Z12" s="32"/>
      <c r="AA12" s="32"/>
      <c r="AB12" s="32"/>
      <c r="AC12" s="32"/>
      <c r="AD12" s="32"/>
      <c r="AE12" s="32"/>
    </row>
    <row r="13" spans="1:31" ht="29" x14ac:dyDescent="0.35">
      <c r="A13" s="26">
        <v>12</v>
      </c>
      <c r="B13" s="26" t="s">
        <v>1314</v>
      </c>
      <c r="C13" s="26" t="s">
        <v>1325</v>
      </c>
      <c r="D13" s="26" t="s">
        <v>1323</v>
      </c>
      <c r="E13" s="26">
        <v>10</v>
      </c>
      <c r="F13" s="26">
        <v>1</v>
      </c>
      <c r="G13" s="26">
        <v>0.5</v>
      </c>
      <c r="H13" s="27" t="s">
        <v>1198</v>
      </c>
      <c r="I13" s="31">
        <v>20</v>
      </c>
      <c r="J13" s="31">
        <v>1</v>
      </c>
      <c r="K13" s="31"/>
      <c r="L13" s="31"/>
      <c r="M13" s="31"/>
      <c r="N13" s="31"/>
      <c r="O13" s="31"/>
      <c r="P13" s="31">
        <f t="shared" si="1"/>
        <v>200</v>
      </c>
      <c r="Q13" s="31"/>
      <c r="R13" s="31">
        <f t="shared" si="4"/>
        <v>60</v>
      </c>
      <c r="S13" s="31">
        <f t="shared" si="5"/>
        <v>600</v>
      </c>
      <c r="T13" s="31"/>
      <c r="U13" s="31">
        <f t="shared" si="6"/>
        <v>600</v>
      </c>
      <c r="V13" s="32"/>
      <c r="W13" s="26"/>
      <c r="X13" s="32"/>
      <c r="Y13" s="32"/>
      <c r="Z13" s="32"/>
      <c r="AA13" s="32"/>
      <c r="AB13" s="32"/>
      <c r="AC13" s="32"/>
      <c r="AD13" s="32"/>
      <c r="AE13" s="32"/>
    </row>
    <row r="14" spans="1:31" ht="29" x14ac:dyDescent="0.35">
      <c r="A14" s="26">
        <v>13</v>
      </c>
      <c r="B14" s="26" t="s">
        <v>1264</v>
      </c>
      <c r="C14" s="26" t="s">
        <v>1326</v>
      </c>
      <c r="D14" s="26" t="s">
        <v>1327</v>
      </c>
      <c r="E14" s="26">
        <v>20</v>
      </c>
      <c r="F14" s="26">
        <v>25</v>
      </c>
      <c r="G14" s="26">
        <v>0.2</v>
      </c>
      <c r="H14" s="27" t="s">
        <v>1335</v>
      </c>
      <c r="I14" s="31">
        <v>1</v>
      </c>
      <c r="J14" s="31">
        <v>1</v>
      </c>
      <c r="K14" s="31"/>
      <c r="L14" s="31"/>
      <c r="M14" s="31"/>
      <c r="N14" s="31"/>
      <c r="O14" s="31"/>
      <c r="P14" s="31">
        <f t="shared" si="1"/>
        <v>500</v>
      </c>
      <c r="Q14" s="31"/>
      <c r="R14" s="31"/>
      <c r="S14" s="31"/>
      <c r="T14" s="31"/>
      <c r="U14" s="31"/>
      <c r="V14" s="32">
        <f>+P14</f>
        <v>500</v>
      </c>
      <c r="W14" s="26"/>
      <c r="X14" s="32"/>
      <c r="Y14" s="32"/>
      <c r="Z14" s="32"/>
      <c r="AA14" s="32"/>
      <c r="AB14" s="32"/>
      <c r="AC14" s="32"/>
      <c r="AD14" s="32"/>
      <c r="AE14" s="32"/>
    </row>
    <row r="15" spans="1:31" ht="29" x14ac:dyDescent="0.35">
      <c r="A15" s="26">
        <v>14</v>
      </c>
      <c r="B15" s="26" t="s">
        <v>1266</v>
      </c>
      <c r="C15" s="26" t="s">
        <v>1326</v>
      </c>
      <c r="D15" s="26" t="s">
        <v>1327</v>
      </c>
      <c r="E15" s="26">
        <v>20</v>
      </c>
      <c r="F15" s="26">
        <v>25</v>
      </c>
      <c r="G15" s="26">
        <v>0.2</v>
      </c>
      <c r="H15" s="27" t="s">
        <v>1335</v>
      </c>
      <c r="I15" s="31">
        <v>1</v>
      </c>
      <c r="J15" s="31">
        <v>1</v>
      </c>
      <c r="K15" s="31"/>
      <c r="L15" s="31"/>
      <c r="M15" s="31"/>
      <c r="N15" s="31"/>
      <c r="O15" s="31"/>
      <c r="P15" s="31">
        <f t="shared" si="1"/>
        <v>500</v>
      </c>
      <c r="Q15" s="31"/>
      <c r="R15" s="31"/>
      <c r="S15" s="31"/>
      <c r="T15" s="31"/>
      <c r="U15" s="31"/>
      <c r="V15" s="32">
        <f>+P15</f>
        <v>500</v>
      </c>
      <c r="W15" s="26"/>
      <c r="X15" s="32"/>
      <c r="Y15" s="32"/>
      <c r="Z15" s="32"/>
      <c r="AA15" s="32"/>
      <c r="AB15" s="32"/>
      <c r="AC15" s="32"/>
      <c r="AD15" s="32"/>
      <c r="AE15" s="32"/>
    </row>
    <row r="16" spans="1:31" ht="29" x14ac:dyDescent="0.35">
      <c r="A16" s="26">
        <v>15</v>
      </c>
      <c r="B16" s="26" t="s">
        <v>1314</v>
      </c>
      <c r="C16" s="26" t="s">
        <v>1326</v>
      </c>
      <c r="D16" s="26" t="s">
        <v>1327</v>
      </c>
      <c r="E16" s="26">
        <v>20</v>
      </c>
      <c r="F16" s="26">
        <v>25</v>
      </c>
      <c r="G16" s="26">
        <v>0.2</v>
      </c>
      <c r="H16" s="27" t="s">
        <v>1335</v>
      </c>
      <c r="I16" s="31">
        <v>1</v>
      </c>
      <c r="J16" s="31">
        <v>1</v>
      </c>
      <c r="K16" s="31"/>
      <c r="L16" s="31"/>
      <c r="M16" s="31"/>
      <c r="N16" s="31"/>
      <c r="O16" s="31"/>
      <c r="P16" s="31">
        <f t="shared" si="1"/>
        <v>500</v>
      </c>
      <c r="Q16" s="31"/>
      <c r="R16" s="31"/>
      <c r="S16" s="31"/>
      <c r="T16" s="31"/>
      <c r="U16" s="31"/>
      <c r="V16" s="32">
        <f>+P16</f>
        <v>500</v>
      </c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 x14ac:dyDescent="0.35">
      <c r="A17" s="26">
        <v>16</v>
      </c>
      <c r="B17" s="26" t="s">
        <v>1264</v>
      </c>
      <c r="C17" s="26" t="s">
        <v>1273</v>
      </c>
      <c r="D17" s="26" t="s">
        <v>1328</v>
      </c>
      <c r="E17" s="26">
        <v>1</v>
      </c>
      <c r="F17" s="26">
        <v>0.1</v>
      </c>
      <c r="G17" s="26">
        <v>2</v>
      </c>
      <c r="H17" s="27" t="s">
        <v>1334</v>
      </c>
      <c r="I17" s="31">
        <v>20</v>
      </c>
      <c r="J17" s="31">
        <v>1</v>
      </c>
      <c r="K17" s="31"/>
      <c r="L17" s="31"/>
      <c r="M17" s="31"/>
      <c r="N17" s="31"/>
      <c r="O17" s="31"/>
      <c r="P17" s="31"/>
      <c r="Q17" s="31"/>
      <c r="R17" s="31">
        <f t="shared" ref="R17:R23" si="7">(E17+G17*2)*I17*J17</f>
        <v>100</v>
      </c>
      <c r="S17" s="31">
        <f t="shared" ref="S17:S23" si="8">+R17*F17</f>
        <v>10</v>
      </c>
      <c r="T17" s="31"/>
      <c r="U17" s="31"/>
      <c r="V17" s="32"/>
      <c r="W17" s="32">
        <f>+S17</f>
        <v>10</v>
      </c>
      <c r="X17" s="26"/>
      <c r="Y17" s="26"/>
      <c r="Z17" s="26"/>
      <c r="AA17" s="26"/>
      <c r="AB17" s="26"/>
      <c r="AC17" s="26"/>
      <c r="AD17" s="26"/>
      <c r="AE17" s="26"/>
    </row>
    <row r="18" spans="1:31" x14ac:dyDescent="0.35">
      <c r="A18" s="26">
        <v>17</v>
      </c>
      <c r="B18" s="26" t="s">
        <v>1266</v>
      </c>
      <c r="C18" s="26" t="s">
        <v>1274</v>
      </c>
      <c r="D18" s="26" t="s">
        <v>1329</v>
      </c>
      <c r="E18" s="26">
        <v>1</v>
      </c>
      <c r="F18" s="26">
        <v>0.15</v>
      </c>
      <c r="G18" s="26">
        <v>2</v>
      </c>
      <c r="H18" s="27" t="s">
        <v>1334</v>
      </c>
      <c r="I18" s="31">
        <v>20</v>
      </c>
      <c r="J18" s="31">
        <v>1</v>
      </c>
      <c r="K18" s="31"/>
      <c r="L18" s="31"/>
      <c r="M18" s="31"/>
      <c r="N18" s="31"/>
      <c r="O18" s="31"/>
      <c r="P18" s="31"/>
      <c r="Q18" s="31"/>
      <c r="R18" s="31">
        <f t="shared" si="7"/>
        <v>100</v>
      </c>
      <c r="S18" s="31">
        <f t="shared" si="8"/>
        <v>15</v>
      </c>
      <c r="T18" s="31"/>
      <c r="U18" s="31"/>
      <c r="V18" s="32"/>
      <c r="W18" s="32">
        <f>+S18</f>
        <v>15</v>
      </c>
      <c r="X18" s="26"/>
      <c r="Y18" s="26"/>
      <c r="Z18" s="26"/>
      <c r="AA18" s="26"/>
      <c r="AB18" s="26"/>
      <c r="AC18" s="26"/>
      <c r="AD18" s="26"/>
      <c r="AE18" s="26"/>
    </row>
    <row r="19" spans="1:31" x14ac:dyDescent="0.35">
      <c r="A19" s="26">
        <v>18</v>
      </c>
      <c r="B19" s="26" t="s">
        <v>1314</v>
      </c>
      <c r="C19" s="26" t="s">
        <v>1275</v>
      </c>
      <c r="D19" s="26" t="s">
        <v>1330</v>
      </c>
      <c r="E19" s="26">
        <v>1</v>
      </c>
      <c r="F19" s="26">
        <v>0.2</v>
      </c>
      <c r="G19" s="26">
        <v>2</v>
      </c>
      <c r="H19" s="27" t="s">
        <v>1334</v>
      </c>
      <c r="I19" s="31">
        <v>20</v>
      </c>
      <c r="J19" s="31">
        <v>1</v>
      </c>
      <c r="K19" s="31"/>
      <c r="L19" s="31"/>
      <c r="M19" s="31"/>
      <c r="N19" s="31"/>
      <c r="O19" s="31"/>
      <c r="P19" s="31"/>
      <c r="Q19" s="31"/>
      <c r="R19" s="31">
        <f t="shared" si="7"/>
        <v>100</v>
      </c>
      <c r="S19" s="31">
        <f t="shared" si="8"/>
        <v>20</v>
      </c>
      <c r="T19" s="31"/>
      <c r="U19" s="31"/>
      <c r="V19" s="32"/>
      <c r="W19" s="32">
        <f>+S19</f>
        <v>20</v>
      </c>
      <c r="X19" s="26"/>
      <c r="Y19" s="26"/>
      <c r="Z19" s="26"/>
      <c r="AA19" s="26"/>
      <c r="AB19" s="26"/>
      <c r="AC19" s="26"/>
      <c r="AD19" s="26"/>
      <c r="AE19" s="26"/>
    </row>
    <row r="20" spans="1:31" x14ac:dyDescent="0.35">
      <c r="A20" s="26">
        <v>19</v>
      </c>
      <c r="B20" s="26" t="s">
        <v>1264</v>
      </c>
      <c r="C20" s="26" t="s">
        <v>1273</v>
      </c>
      <c r="D20" s="26" t="s">
        <v>1331</v>
      </c>
      <c r="E20" s="26">
        <v>1</v>
      </c>
      <c r="F20" s="26">
        <v>0.1</v>
      </c>
      <c r="G20" s="26">
        <v>2</v>
      </c>
      <c r="H20" s="27" t="s">
        <v>1334</v>
      </c>
      <c r="I20" s="31">
        <v>20</v>
      </c>
      <c r="J20" s="31">
        <v>1</v>
      </c>
      <c r="K20" s="31"/>
      <c r="L20" s="31"/>
      <c r="M20" s="31"/>
      <c r="N20" s="31"/>
      <c r="O20" s="31"/>
      <c r="P20" s="31"/>
      <c r="Q20" s="31"/>
      <c r="R20" s="31">
        <f t="shared" si="7"/>
        <v>100</v>
      </c>
      <c r="S20" s="31">
        <f t="shared" si="8"/>
        <v>10</v>
      </c>
      <c r="T20" s="31"/>
      <c r="U20" s="31"/>
      <c r="V20" s="32"/>
      <c r="W20" s="32">
        <f>+S20</f>
        <v>10</v>
      </c>
      <c r="X20" s="26"/>
      <c r="Y20" s="26"/>
      <c r="Z20" s="26"/>
      <c r="AA20" s="26"/>
      <c r="AB20" s="26"/>
      <c r="AC20" s="26"/>
      <c r="AD20" s="26"/>
      <c r="AE20" s="26"/>
    </row>
    <row r="21" spans="1:31" x14ac:dyDescent="0.35">
      <c r="A21" s="26">
        <v>20</v>
      </c>
      <c r="B21" s="26" t="s">
        <v>1266</v>
      </c>
      <c r="C21" s="26" t="s">
        <v>1274</v>
      </c>
      <c r="D21" s="26" t="s">
        <v>1332</v>
      </c>
      <c r="E21" s="26">
        <v>1</v>
      </c>
      <c r="F21" s="26">
        <v>0.2</v>
      </c>
      <c r="G21" s="26">
        <v>2</v>
      </c>
      <c r="H21" s="27" t="s">
        <v>1334</v>
      </c>
      <c r="I21" s="31">
        <v>20</v>
      </c>
      <c r="J21" s="31">
        <v>1</v>
      </c>
      <c r="K21" s="31"/>
      <c r="L21" s="31"/>
      <c r="M21" s="31"/>
      <c r="N21" s="31"/>
      <c r="O21" s="31"/>
      <c r="P21" s="31"/>
      <c r="Q21" s="31"/>
      <c r="R21" s="31">
        <f t="shared" si="7"/>
        <v>100</v>
      </c>
      <c r="S21" s="31">
        <f t="shared" si="8"/>
        <v>20</v>
      </c>
      <c r="T21" s="31"/>
      <c r="U21" s="31"/>
      <c r="V21" s="26"/>
      <c r="W21" s="32">
        <f>+S21</f>
        <v>20</v>
      </c>
      <c r="X21" s="26"/>
      <c r="Y21" s="26"/>
      <c r="Z21" s="26"/>
      <c r="AA21" s="26"/>
      <c r="AB21" s="26"/>
      <c r="AC21" s="26"/>
      <c r="AD21" s="26"/>
      <c r="AE21" s="26"/>
    </row>
    <row r="22" spans="1:31" x14ac:dyDescent="0.35">
      <c r="A22" s="26">
        <v>21</v>
      </c>
      <c r="B22" s="26" t="s">
        <v>1264</v>
      </c>
      <c r="C22" s="26" t="s">
        <v>1273</v>
      </c>
      <c r="D22" s="26" t="s">
        <v>1331</v>
      </c>
      <c r="E22" s="26">
        <v>1</v>
      </c>
      <c r="F22" s="26">
        <v>0.1</v>
      </c>
      <c r="G22" s="26">
        <v>1</v>
      </c>
      <c r="H22" s="27" t="s">
        <v>1336</v>
      </c>
      <c r="I22" s="31">
        <v>20</v>
      </c>
      <c r="J22" s="31">
        <v>1</v>
      </c>
      <c r="K22" s="31"/>
      <c r="L22" s="31"/>
      <c r="M22" s="31"/>
      <c r="N22" s="31"/>
      <c r="O22" s="31"/>
      <c r="P22" s="31"/>
      <c r="Q22" s="31"/>
      <c r="R22" s="31">
        <f t="shared" si="7"/>
        <v>60</v>
      </c>
      <c r="S22" s="31">
        <f t="shared" si="8"/>
        <v>6</v>
      </c>
      <c r="T22" s="31"/>
      <c r="U22" s="31"/>
      <c r="V22" s="26"/>
      <c r="W22" s="26"/>
      <c r="X22" s="32">
        <f>+S22</f>
        <v>6</v>
      </c>
      <c r="Y22" s="26"/>
      <c r="Z22" s="26"/>
      <c r="AA22" s="26"/>
      <c r="AB22" s="26"/>
      <c r="AC22" s="26"/>
      <c r="AD22" s="26"/>
      <c r="AE22" s="26"/>
    </row>
    <row r="23" spans="1:31" x14ac:dyDescent="0.35">
      <c r="A23" s="26">
        <v>22</v>
      </c>
      <c r="B23" s="26" t="s">
        <v>1266</v>
      </c>
      <c r="C23" s="26" t="s">
        <v>1274</v>
      </c>
      <c r="D23" s="26" t="s">
        <v>1332</v>
      </c>
      <c r="E23" s="26">
        <v>1</v>
      </c>
      <c r="F23" s="26">
        <v>0.2</v>
      </c>
      <c r="G23" s="26">
        <v>1</v>
      </c>
      <c r="H23" s="27" t="s">
        <v>1336</v>
      </c>
      <c r="I23" s="31">
        <v>20</v>
      </c>
      <c r="J23" s="31">
        <v>1</v>
      </c>
      <c r="K23" s="31"/>
      <c r="L23" s="31"/>
      <c r="M23" s="31"/>
      <c r="N23" s="31"/>
      <c r="O23" s="31"/>
      <c r="P23" s="31"/>
      <c r="Q23" s="31"/>
      <c r="R23" s="31">
        <f t="shared" si="7"/>
        <v>60</v>
      </c>
      <c r="S23" s="31">
        <f t="shared" si="8"/>
        <v>12</v>
      </c>
      <c r="T23" s="31"/>
      <c r="U23" s="31"/>
      <c r="V23" s="26"/>
      <c r="W23" s="26"/>
      <c r="X23" s="32">
        <f>+S23</f>
        <v>12</v>
      </c>
      <c r="Y23" s="26"/>
      <c r="Z23" s="26"/>
      <c r="AA23" s="26"/>
      <c r="AB23" s="26"/>
      <c r="AC23" s="26"/>
      <c r="AD23" s="26"/>
      <c r="AE23" s="26"/>
    </row>
    <row r="24" spans="1:31" x14ac:dyDescent="0.35">
      <c r="A24" s="26">
        <v>23</v>
      </c>
      <c r="B24" s="26" t="s">
        <v>1264</v>
      </c>
      <c r="C24" s="26" t="s">
        <v>1273</v>
      </c>
      <c r="D24" s="26" t="s">
        <v>1337</v>
      </c>
      <c r="E24" s="26">
        <v>20</v>
      </c>
      <c r="F24" s="26">
        <v>25</v>
      </c>
      <c r="G24" s="26"/>
      <c r="H24" s="27" t="s">
        <v>1334</v>
      </c>
      <c r="I24" s="31">
        <v>1</v>
      </c>
      <c r="J24" s="31">
        <v>1</v>
      </c>
      <c r="K24" s="31"/>
      <c r="L24" s="31"/>
      <c r="M24" s="31"/>
      <c r="N24" s="31"/>
      <c r="O24" s="31"/>
      <c r="P24" s="31">
        <f>+E24*F24*I24*J24</f>
        <v>500</v>
      </c>
      <c r="Q24" s="31"/>
      <c r="R24" s="31"/>
      <c r="S24" s="31"/>
      <c r="T24" s="31"/>
      <c r="U24" s="31"/>
      <c r="V24" s="32"/>
      <c r="W24" s="26"/>
      <c r="X24" s="26"/>
      <c r="Y24" s="32">
        <f>+P24</f>
        <v>500</v>
      </c>
      <c r="Z24" s="26"/>
      <c r="AA24" s="26"/>
      <c r="AB24" s="26"/>
      <c r="AC24" s="26"/>
      <c r="AD24" s="26"/>
      <c r="AE24" s="26"/>
    </row>
    <row r="25" spans="1:31" x14ac:dyDescent="0.35">
      <c r="A25" s="26">
        <v>24</v>
      </c>
      <c r="B25" s="26" t="s">
        <v>1266</v>
      </c>
      <c r="C25" s="26" t="s">
        <v>1274</v>
      </c>
      <c r="D25" s="26" t="s">
        <v>1337</v>
      </c>
      <c r="E25" s="26">
        <v>20</v>
      </c>
      <c r="F25" s="26">
        <v>25</v>
      </c>
      <c r="G25" s="26"/>
      <c r="H25" s="27" t="s">
        <v>1334</v>
      </c>
      <c r="I25" s="31">
        <v>1</v>
      </c>
      <c r="J25" s="31">
        <v>1</v>
      </c>
      <c r="K25" s="31"/>
      <c r="L25" s="31"/>
      <c r="M25" s="31"/>
      <c r="N25" s="31"/>
      <c r="O25" s="31"/>
      <c r="P25" s="31">
        <f>+E25*F25*I25*J25</f>
        <v>500</v>
      </c>
      <c r="Q25" s="31"/>
      <c r="R25" s="31"/>
      <c r="S25" s="31"/>
      <c r="T25" s="31"/>
      <c r="U25" s="31"/>
      <c r="V25" s="32"/>
      <c r="W25" s="26"/>
      <c r="X25" s="26"/>
      <c r="Y25" s="32">
        <f>+P25</f>
        <v>500</v>
      </c>
      <c r="Z25" s="26"/>
      <c r="AA25" s="26"/>
      <c r="AB25" s="26"/>
      <c r="AC25" s="26"/>
      <c r="AD25" s="26"/>
      <c r="AE25" s="26"/>
    </row>
    <row r="26" spans="1:31" x14ac:dyDescent="0.35">
      <c r="A26" s="26">
        <v>25</v>
      </c>
      <c r="B26" s="26" t="s">
        <v>1314</v>
      </c>
      <c r="C26" s="26" t="s">
        <v>1275</v>
      </c>
      <c r="D26" s="26" t="s">
        <v>1337</v>
      </c>
      <c r="E26" s="26">
        <v>20</v>
      </c>
      <c r="F26" s="26">
        <v>25</v>
      </c>
      <c r="G26" s="26"/>
      <c r="H26" s="27" t="s">
        <v>1334</v>
      </c>
      <c r="I26" s="31">
        <v>1</v>
      </c>
      <c r="J26" s="31">
        <v>1</v>
      </c>
      <c r="K26" s="31"/>
      <c r="L26" s="31"/>
      <c r="M26" s="31"/>
      <c r="N26" s="31"/>
      <c r="O26" s="31"/>
      <c r="P26" s="31">
        <f>+E26*F26*I26*J26</f>
        <v>500</v>
      </c>
      <c r="Q26" s="31"/>
      <c r="R26" s="31"/>
      <c r="S26" s="31"/>
      <c r="T26" s="31"/>
      <c r="U26" s="31"/>
      <c r="V26" s="32"/>
      <c r="W26" s="26"/>
      <c r="X26" s="26"/>
      <c r="Y26" s="32">
        <f>+P26</f>
        <v>500</v>
      </c>
      <c r="Z26" s="26"/>
      <c r="AA26" s="26"/>
      <c r="AB26" s="26"/>
      <c r="AC26" s="26"/>
      <c r="AD26" s="26"/>
      <c r="AE26" s="26"/>
    </row>
    <row r="27" spans="1:31" x14ac:dyDescent="0.35">
      <c r="A27" s="26">
        <v>26</v>
      </c>
      <c r="B27" s="26" t="s">
        <v>1264</v>
      </c>
      <c r="C27" s="26" t="s">
        <v>1273</v>
      </c>
      <c r="D27" s="26" t="s">
        <v>1328</v>
      </c>
      <c r="E27" s="26">
        <v>10</v>
      </c>
      <c r="F27" s="26">
        <v>10</v>
      </c>
      <c r="G27" s="26">
        <v>3</v>
      </c>
      <c r="H27" s="27" t="s">
        <v>1338</v>
      </c>
      <c r="I27" s="31">
        <v>2</v>
      </c>
      <c r="J27" s="31">
        <v>1</v>
      </c>
      <c r="K27" s="31"/>
      <c r="L27" s="31"/>
      <c r="M27" s="31"/>
      <c r="N27" s="31"/>
      <c r="O27" s="31"/>
      <c r="P27" s="31"/>
      <c r="Q27" s="31"/>
      <c r="R27" s="31">
        <f t="shared" ref="R27:R35" si="9">I27*J27*(E27*2+F27*2)</f>
        <v>80</v>
      </c>
      <c r="S27" s="31">
        <f t="shared" ref="S27:S35" si="10">+R27*G27</f>
        <v>240</v>
      </c>
      <c r="T27" s="31"/>
      <c r="U27" s="31"/>
      <c r="V27" s="32"/>
      <c r="W27" s="26"/>
      <c r="X27" s="26"/>
      <c r="Y27" s="32"/>
      <c r="Z27" s="32">
        <f>+S27</f>
        <v>240</v>
      </c>
      <c r="AA27" s="26"/>
      <c r="AB27" s="26"/>
      <c r="AC27" s="26"/>
      <c r="AD27" s="26"/>
      <c r="AE27" s="26"/>
    </row>
    <row r="28" spans="1:31" x14ac:dyDescent="0.35">
      <c r="A28" s="26">
        <v>27</v>
      </c>
      <c r="B28" s="26" t="s">
        <v>1266</v>
      </c>
      <c r="C28" s="26" t="s">
        <v>1274</v>
      </c>
      <c r="D28" s="26" t="s">
        <v>1328</v>
      </c>
      <c r="E28" s="26">
        <v>10</v>
      </c>
      <c r="F28" s="26">
        <v>10</v>
      </c>
      <c r="G28" s="26">
        <v>3</v>
      </c>
      <c r="H28" s="27" t="s">
        <v>1338</v>
      </c>
      <c r="I28" s="31">
        <v>2</v>
      </c>
      <c r="J28" s="31">
        <v>1</v>
      </c>
      <c r="K28" s="31"/>
      <c r="L28" s="31"/>
      <c r="M28" s="31"/>
      <c r="N28" s="31"/>
      <c r="O28" s="31"/>
      <c r="P28" s="31"/>
      <c r="Q28" s="31"/>
      <c r="R28" s="31">
        <f t="shared" si="9"/>
        <v>80</v>
      </c>
      <c r="S28" s="31">
        <f t="shared" si="10"/>
        <v>240</v>
      </c>
      <c r="T28" s="31"/>
      <c r="U28" s="31"/>
      <c r="V28" s="32"/>
      <c r="W28" s="26"/>
      <c r="X28" s="26"/>
      <c r="Y28" s="32"/>
      <c r="Z28" s="32">
        <f t="shared" ref="Z28:Z35" si="11">+S28</f>
        <v>240</v>
      </c>
      <c r="AA28" s="26"/>
      <c r="AB28" s="26"/>
      <c r="AC28" s="26"/>
      <c r="AD28" s="26"/>
      <c r="AE28" s="26"/>
    </row>
    <row r="29" spans="1:31" x14ac:dyDescent="0.35">
      <c r="A29" s="26">
        <v>28</v>
      </c>
      <c r="B29" s="26" t="s">
        <v>1314</v>
      </c>
      <c r="C29" s="26" t="s">
        <v>1275</v>
      </c>
      <c r="D29" s="26" t="s">
        <v>1328</v>
      </c>
      <c r="E29" s="26">
        <v>10</v>
      </c>
      <c r="F29" s="26">
        <v>10</v>
      </c>
      <c r="G29" s="26">
        <v>3</v>
      </c>
      <c r="H29" s="27" t="s">
        <v>1338</v>
      </c>
      <c r="I29" s="31">
        <v>2</v>
      </c>
      <c r="J29" s="31">
        <v>1</v>
      </c>
      <c r="K29" s="31"/>
      <c r="L29" s="31"/>
      <c r="M29" s="31"/>
      <c r="N29" s="31"/>
      <c r="O29" s="31"/>
      <c r="P29" s="31"/>
      <c r="Q29" s="31"/>
      <c r="R29" s="31">
        <f t="shared" si="9"/>
        <v>80</v>
      </c>
      <c r="S29" s="31">
        <f t="shared" si="10"/>
        <v>240</v>
      </c>
      <c r="T29" s="31"/>
      <c r="U29" s="31"/>
      <c r="V29" s="32"/>
      <c r="W29" s="26"/>
      <c r="X29" s="26"/>
      <c r="Y29" s="32"/>
      <c r="Z29" s="32">
        <f t="shared" si="11"/>
        <v>240</v>
      </c>
      <c r="AA29" s="26"/>
      <c r="AB29" s="26"/>
      <c r="AC29" s="26"/>
      <c r="AD29" s="26"/>
      <c r="AE29" s="26"/>
    </row>
    <row r="30" spans="1:31" x14ac:dyDescent="0.35">
      <c r="A30" s="26">
        <v>29</v>
      </c>
      <c r="B30" s="26" t="s">
        <v>1264</v>
      </c>
      <c r="C30" s="26" t="s">
        <v>1273</v>
      </c>
      <c r="D30" s="26" t="s">
        <v>1329</v>
      </c>
      <c r="E30" s="26">
        <v>10</v>
      </c>
      <c r="F30" s="26">
        <v>10</v>
      </c>
      <c r="G30" s="26">
        <v>3</v>
      </c>
      <c r="H30" s="27" t="s">
        <v>1338</v>
      </c>
      <c r="I30" s="31">
        <v>2</v>
      </c>
      <c r="J30" s="31">
        <v>1</v>
      </c>
      <c r="K30" s="31"/>
      <c r="L30" s="31"/>
      <c r="M30" s="31"/>
      <c r="N30" s="31"/>
      <c r="O30" s="31"/>
      <c r="P30" s="31"/>
      <c r="Q30" s="31"/>
      <c r="R30" s="31">
        <f t="shared" si="9"/>
        <v>80</v>
      </c>
      <c r="S30" s="31">
        <f t="shared" si="10"/>
        <v>240</v>
      </c>
      <c r="T30" s="31"/>
      <c r="U30" s="31"/>
      <c r="V30" s="32"/>
      <c r="W30" s="26"/>
      <c r="X30" s="26"/>
      <c r="Y30" s="32"/>
      <c r="Z30" s="32">
        <f t="shared" si="11"/>
        <v>240</v>
      </c>
      <c r="AA30" s="26"/>
      <c r="AB30" s="26"/>
      <c r="AC30" s="26"/>
      <c r="AD30" s="26"/>
      <c r="AE30" s="26"/>
    </row>
    <row r="31" spans="1:31" x14ac:dyDescent="0.35">
      <c r="A31" s="26">
        <v>30</v>
      </c>
      <c r="B31" s="26" t="s">
        <v>1266</v>
      </c>
      <c r="C31" s="26" t="s">
        <v>1274</v>
      </c>
      <c r="D31" s="26" t="s">
        <v>1329</v>
      </c>
      <c r="E31" s="26">
        <v>10</v>
      </c>
      <c r="F31" s="26">
        <v>10</v>
      </c>
      <c r="G31" s="26">
        <v>3</v>
      </c>
      <c r="H31" s="27" t="s">
        <v>1338</v>
      </c>
      <c r="I31" s="31">
        <v>2</v>
      </c>
      <c r="J31" s="31">
        <v>1</v>
      </c>
      <c r="K31" s="31"/>
      <c r="L31" s="31"/>
      <c r="M31" s="31"/>
      <c r="N31" s="31"/>
      <c r="O31" s="31"/>
      <c r="P31" s="31"/>
      <c r="Q31" s="31"/>
      <c r="R31" s="31">
        <f t="shared" si="9"/>
        <v>80</v>
      </c>
      <c r="S31" s="31">
        <f t="shared" si="10"/>
        <v>240</v>
      </c>
      <c r="T31" s="31"/>
      <c r="U31" s="31"/>
      <c r="V31" s="32"/>
      <c r="W31" s="26"/>
      <c r="X31" s="26"/>
      <c r="Y31" s="32"/>
      <c r="Z31" s="32">
        <f t="shared" si="11"/>
        <v>240</v>
      </c>
      <c r="AA31" s="26"/>
      <c r="AB31" s="26"/>
      <c r="AC31" s="26"/>
      <c r="AD31" s="26"/>
      <c r="AE31" s="26"/>
    </row>
    <row r="32" spans="1:31" x14ac:dyDescent="0.35">
      <c r="A32" s="26">
        <v>31</v>
      </c>
      <c r="B32" s="26" t="s">
        <v>1314</v>
      </c>
      <c r="C32" s="26" t="s">
        <v>1275</v>
      </c>
      <c r="D32" s="26" t="s">
        <v>1329</v>
      </c>
      <c r="E32" s="26">
        <v>10</v>
      </c>
      <c r="F32" s="26">
        <v>10</v>
      </c>
      <c r="G32" s="26">
        <v>3</v>
      </c>
      <c r="H32" s="27" t="s">
        <v>1338</v>
      </c>
      <c r="I32" s="31">
        <v>2</v>
      </c>
      <c r="J32" s="31">
        <v>1</v>
      </c>
      <c r="K32" s="31"/>
      <c r="L32" s="31"/>
      <c r="M32" s="31"/>
      <c r="N32" s="31"/>
      <c r="O32" s="31"/>
      <c r="P32" s="31"/>
      <c r="Q32" s="31"/>
      <c r="R32" s="31">
        <f t="shared" si="9"/>
        <v>80</v>
      </c>
      <c r="S32" s="31">
        <f t="shared" si="10"/>
        <v>240</v>
      </c>
      <c r="T32" s="31"/>
      <c r="U32" s="31"/>
      <c r="V32" s="32"/>
      <c r="W32" s="26"/>
      <c r="X32" s="26"/>
      <c r="Y32" s="32"/>
      <c r="Z32" s="32">
        <f t="shared" si="11"/>
        <v>240</v>
      </c>
      <c r="AA32" s="26"/>
      <c r="AB32" s="26"/>
      <c r="AC32" s="26"/>
      <c r="AD32" s="26"/>
      <c r="AE32" s="26"/>
    </row>
    <row r="33" spans="1:31" x14ac:dyDescent="0.35">
      <c r="A33" s="26">
        <v>32</v>
      </c>
      <c r="B33" s="26" t="s">
        <v>1264</v>
      </c>
      <c r="C33" s="26" t="s">
        <v>1273</v>
      </c>
      <c r="D33" s="26" t="s">
        <v>1330</v>
      </c>
      <c r="E33" s="26">
        <v>10</v>
      </c>
      <c r="F33" s="26">
        <v>10</v>
      </c>
      <c r="G33" s="26">
        <v>3</v>
      </c>
      <c r="H33" s="27" t="s">
        <v>1338</v>
      </c>
      <c r="I33" s="31">
        <v>2</v>
      </c>
      <c r="J33" s="31">
        <v>1</v>
      </c>
      <c r="K33" s="31"/>
      <c r="L33" s="31"/>
      <c r="M33" s="31"/>
      <c r="N33" s="31"/>
      <c r="O33" s="31"/>
      <c r="P33" s="31"/>
      <c r="Q33" s="31"/>
      <c r="R33" s="31">
        <f t="shared" si="9"/>
        <v>80</v>
      </c>
      <c r="S33" s="31">
        <f t="shared" si="10"/>
        <v>240</v>
      </c>
      <c r="T33" s="31"/>
      <c r="U33" s="31"/>
      <c r="V33" s="32"/>
      <c r="W33" s="26"/>
      <c r="X33" s="26"/>
      <c r="Y33" s="32"/>
      <c r="Z33" s="32">
        <f t="shared" si="11"/>
        <v>240</v>
      </c>
      <c r="AA33" s="26"/>
      <c r="AB33" s="26"/>
      <c r="AC33" s="26"/>
      <c r="AD33" s="26"/>
      <c r="AE33" s="26"/>
    </row>
    <row r="34" spans="1:31" x14ac:dyDescent="0.35">
      <c r="A34" s="26">
        <v>33</v>
      </c>
      <c r="B34" s="26" t="s">
        <v>1266</v>
      </c>
      <c r="C34" s="26" t="s">
        <v>1274</v>
      </c>
      <c r="D34" s="26" t="s">
        <v>1330</v>
      </c>
      <c r="E34" s="26">
        <v>10</v>
      </c>
      <c r="F34" s="26">
        <v>10</v>
      </c>
      <c r="G34" s="26">
        <v>3</v>
      </c>
      <c r="H34" s="27" t="s">
        <v>1338</v>
      </c>
      <c r="I34" s="31">
        <v>2</v>
      </c>
      <c r="J34" s="31">
        <v>1</v>
      </c>
      <c r="K34" s="31"/>
      <c r="L34" s="31"/>
      <c r="M34" s="31"/>
      <c r="N34" s="31"/>
      <c r="O34" s="31"/>
      <c r="P34" s="31"/>
      <c r="Q34" s="31"/>
      <c r="R34" s="31">
        <f t="shared" si="9"/>
        <v>80</v>
      </c>
      <c r="S34" s="31">
        <f t="shared" si="10"/>
        <v>240</v>
      </c>
      <c r="T34" s="31"/>
      <c r="U34" s="31"/>
      <c r="V34" s="32"/>
      <c r="W34" s="26"/>
      <c r="X34" s="26"/>
      <c r="Y34" s="32"/>
      <c r="Z34" s="32">
        <f t="shared" si="11"/>
        <v>240</v>
      </c>
      <c r="AA34" s="26"/>
      <c r="AB34" s="26"/>
      <c r="AC34" s="26"/>
      <c r="AD34" s="26"/>
      <c r="AE34" s="26"/>
    </row>
    <row r="35" spans="1:31" x14ac:dyDescent="0.35">
      <c r="A35" s="26">
        <v>34</v>
      </c>
      <c r="B35" s="26" t="s">
        <v>1314</v>
      </c>
      <c r="C35" s="26" t="s">
        <v>1275</v>
      </c>
      <c r="D35" s="26" t="s">
        <v>1330</v>
      </c>
      <c r="E35" s="26">
        <v>10</v>
      </c>
      <c r="F35" s="26">
        <v>10</v>
      </c>
      <c r="G35" s="26">
        <v>3</v>
      </c>
      <c r="H35" s="27" t="s">
        <v>1338</v>
      </c>
      <c r="I35" s="31">
        <v>2</v>
      </c>
      <c r="J35" s="31">
        <v>1</v>
      </c>
      <c r="K35" s="31"/>
      <c r="L35" s="31"/>
      <c r="M35" s="31"/>
      <c r="N35" s="31"/>
      <c r="O35" s="31"/>
      <c r="P35" s="31"/>
      <c r="Q35" s="31"/>
      <c r="R35" s="31">
        <f t="shared" si="9"/>
        <v>80</v>
      </c>
      <c r="S35" s="31">
        <f t="shared" si="10"/>
        <v>240</v>
      </c>
      <c r="T35" s="31"/>
      <c r="U35" s="31"/>
      <c r="V35" s="32"/>
      <c r="W35" s="26"/>
      <c r="X35" s="26"/>
      <c r="Y35" s="32"/>
      <c r="Z35" s="32">
        <f t="shared" si="11"/>
        <v>240</v>
      </c>
      <c r="AA35" s="26"/>
      <c r="AB35" s="26"/>
      <c r="AC35" s="26"/>
      <c r="AD35" s="26"/>
      <c r="AE35" s="26"/>
    </row>
    <row r="36" spans="1:31" x14ac:dyDescent="0.35">
      <c r="A36" s="26">
        <v>35</v>
      </c>
      <c r="B36" s="26" t="s">
        <v>1264</v>
      </c>
      <c r="C36" s="26" t="s">
        <v>1273</v>
      </c>
      <c r="D36" s="26" t="s">
        <v>1331</v>
      </c>
      <c r="E36" s="26">
        <v>10</v>
      </c>
      <c r="F36" s="26">
        <v>10</v>
      </c>
      <c r="G36" s="26">
        <v>3</v>
      </c>
      <c r="H36" s="27" t="s">
        <v>1338</v>
      </c>
      <c r="I36" s="31">
        <v>4</v>
      </c>
      <c r="J36" s="31">
        <v>1</v>
      </c>
      <c r="K36" s="31"/>
      <c r="L36" s="31"/>
      <c r="M36" s="31"/>
      <c r="N36" s="31"/>
      <c r="O36" s="31"/>
      <c r="P36" s="31">
        <f t="shared" ref="P36:P41" si="12">+I36*J36*E36*F36</f>
        <v>400</v>
      </c>
      <c r="Q36" s="31"/>
      <c r="R36" s="31"/>
      <c r="S36" s="31"/>
      <c r="T36" s="31"/>
      <c r="U36" s="31"/>
      <c r="V36" s="32"/>
      <c r="W36" s="26"/>
      <c r="X36" s="26"/>
      <c r="Y36" s="32"/>
      <c r="Z36" s="32">
        <f>+P36</f>
        <v>400</v>
      </c>
      <c r="AA36" s="32">
        <f>+Z36</f>
        <v>400</v>
      </c>
      <c r="AB36" s="26"/>
      <c r="AC36" s="26"/>
      <c r="AD36" s="26"/>
      <c r="AE36" s="26"/>
    </row>
    <row r="37" spans="1:31" ht="29" x14ac:dyDescent="0.35">
      <c r="A37" s="26">
        <v>36</v>
      </c>
      <c r="B37" s="26" t="s">
        <v>1266</v>
      </c>
      <c r="C37" s="26" t="s">
        <v>1274</v>
      </c>
      <c r="D37" s="26" t="s">
        <v>1331</v>
      </c>
      <c r="E37" s="26">
        <v>10</v>
      </c>
      <c r="F37" s="26">
        <v>10</v>
      </c>
      <c r="G37" s="26">
        <v>3</v>
      </c>
      <c r="H37" s="27" t="s">
        <v>1339</v>
      </c>
      <c r="I37" s="31">
        <v>4</v>
      </c>
      <c r="J37" s="31">
        <v>1</v>
      </c>
      <c r="K37" s="31"/>
      <c r="L37" s="31"/>
      <c r="M37" s="31"/>
      <c r="N37" s="31"/>
      <c r="O37" s="31"/>
      <c r="P37" s="31">
        <f t="shared" si="12"/>
        <v>400</v>
      </c>
      <c r="Q37" s="31"/>
      <c r="R37" s="31"/>
      <c r="S37" s="31"/>
      <c r="T37" s="31"/>
      <c r="U37" s="31"/>
      <c r="V37" s="32"/>
      <c r="W37" s="26"/>
      <c r="X37" s="26"/>
      <c r="Y37" s="32"/>
      <c r="Z37" s="32"/>
      <c r="AA37" s="32"/>
      <c r="AB37" s="32">
        <f>+P37</f>
        <v>400</v>
      </c>
      <c r="AC37" s="32"/>
      <c r="AD37" s="32"/>
      <c r="AE37" s="32"/>
    </row>
    <row r="38" spans="1:31" x14ac:dyDescent="0.35">
      <c r="A38" s="26">
        <v>37</v>
      </c>
      <c r="B38" s="26" t="s">
        <v>1314</v>
      </c>
      <c r="C38" s="26" t="s">
        <v>1275</v>
      </c>
      <c r="D38" s="26" t="s">
        <v>1331</v>
      </c>
      <c r="E38" s="26">
        <v>10</v>
      </c>
      <c r="F38" s="26">
        <v>10</v>
      </c>
      <c r="G38" s="26">
        <v>3</v>
      </c>
      <c r="H38" s="27" t="s">
        <v>1338</v>
      </c>
      <c r="I38" s="31">
        <v>4</v>
      </c>
      <c r="J38" s="31">
        <v>1</v>
      </c>
      <c r="K38" s="31"/>
      <c r="L38" s="31"/>
      <c r="M38" s="31"/>
      <c r="N38" s="31"/>
      <c r="O38" s="31"/>
      <c r="P38" s="31">
        <f t="shared" si="12"/>
        <v>400</v>
      </c>
      <c r="Q38" s="31"/>
      <c r="R38" s="31"/>
      <c r="S38" s="31"/>
      <c r="T38" s="31"/>
      <c r="U38" s="31"/>
      <c r="V38" s="32"/>
      <c r="W38" s="26"/>
      <c r="X38" s="26"/>
      <c r="Y38" s="32"/>
      <c r="Z38" s="32">
        <f>+P38</f>
        <v>400</v>
      </c>
      <c r="AA38" s="32">
        <f>+Z38</f>
        <v>400</v>
      </c>
      <c r="AB38" s="26"/>
      <c r="AC38" s="26"/>
      <c r="AD38" s="26"/>
      <c r="AE38" s="26"/>
    </row>
    <row r="39" spans="1:31" x14ac:dyDescent="0.35">
      <c r="A39" s="26">
        <v>38</v>
      </c>
      <c r="B39" s="26" t="s">
        <v>1264</v>
      </c>
      <c r="C39" s="26" t="s">
        <v>1273</v>
      </c>
      <c r="D39" s="26" t="s">
        <v>1332</v>
      </c>
      <c r="E39" s="26">
        <v>10</v>
      </c>
      <c r="F39" s="26">
        <v>10</v>
      </c>
      <c r="G39" s="26">
        <v>3</v>
      </c>
      <c r="H39" s="27" t="s">
        <v>1338</v>
      </c>
      <c r="I39" s="31">
        <v>4</v>
      </c>
      <c r="J39" s="31">
        <v>1</v>
      </c>
      <c r="K39" s="31"/>
      <c r="L39" s="31"/>
      <c r="M39" s="31"/>
      <c r="N39" s="31"/>
      <c r="O39" s="31"/>
      <c r="P39" s="31">
        <f t="shared" si="12"/>
        <v>400</v>
      </c>
      <c r="Q39" s="31"/>
      <c r="R39" s="31"/>
      <c r="S39" s="31"/>
      <c r="T39" s="31"/>
      <c r="U39" s="31"/>
      <c r="V39" s="32"/>
      <c r="W39" s="26"/>
      <c r="X39" s="26"/>
      <c r="Y39" s="32"/>
      <c r="Z39" s="32">
        <f>+P39</f>
        <v>400</v>
      </c>
      <c r="AA39" s="32">
        <f>+Z39</f>
        <v>400</v>
      </c>
      <c r="AB39" s="26"/>
      <c r="AC39" s="26"/>
      <c r="AD39" s="26"/>
      <c r="AE39" s="26"/>
    </row>
    <row r="40" spans="1:31" ht="29" x14ac:dyDescent="0.35">
      <c r="A40" s="26">
        <v>39</v>
      </c>
      <c r="B40" s="26" t="s">
        <v>1266</v>
      </c>
      <c r="C40" s="26" t="s">
        <v>1274</v>
      </c>
      <c r="D40" s="26" t="s">
        <v>1332</v>
      </c>
      <c r="E40" s="26">
        <v>10</v>
      </c>
      <c r="F40" s="26">
        <v>10</v>
      </c>
      <c r="G40" s="26">
        <v>3</v>
      </c>
      <c r="H40" s="27" t="s">
        <v>1339</v>
      </c>
      <c r="I40" s="31">
        <v>4</v>
      </c>
      <c r="J40" s="31">
        <v>1</v>
      </c>
      <c r="K40" s="31"/>
      <c r="L40" s="31"/>
      <c r="M40" s="31"/>
      <c r="N40" s="31"/>
      <c r="O40" s="31"/>
      <c r="P40" s="31">
        <f t="shared" si="12"/>
        <v>400</v>
      </c>
      <c r="Q40" s="31"/>
      <c r="R40" s="31"/>
      <c r="S40" s="31"/>
      <c r="T40" s="31"/>
      <c r="U40" s="31"/>
      <c r="V40" s="32"/>
      <c r="W40" s="26"/>
      <c r="X40" s="26"/>
      <c r="Y40" s="32"/>
      <c r="Z40" s="32"/>
      <c r="AA40" s="32"/>
      <c r="AB40" s="32">
        <f>+P40</f>
        <v>400</v>
      </c>
      <c r="AC40" s="32"/>
      <c r="AD40" s="32"/>
      <c r="AE40" s="32"/>
    </row>
    <row r="41" spans="1:31" x14ac:dyDescent="0.35">
      <c r="A41" s="26">
        <v>40</v>
      </c>
      <c r="B41" s="26" t="s">
        <v>1314</v>
      </c>
      <c r="C41" s="26" t="s">
        <v>1275</v>
      </c>
      <c r="D41" s="26" t="s">
        <v>1332</v>
      </c>
      <c r="E41" s="26">
        <v>10</v>
      </c>
      <c r="F41" s="26">
        <v>10</v>
      </c>
      <c r="G41" s="26">
        <v>3</v>
      </c>
      <c r="H41" s="27" t="s">
        <v>1338</v>
      </c>
      <c r="I41" s="31">
        <v>4</v>
      </c>
      <c r="J41" s="31">
        <v>1</v>
      </c>
      <c r="K41" s="31"/>
      <c r="L41" s="31"/>
      <c r="M41" s="31"/>
      <c r="N41" s="31"/>
      <c r="O41" s="31"/>
      <c r="P41" s="31">
        <f t="shared" si="12"/>
        <v>400</v>
      </c>
      <c r="Q41" s="31"/>
      <c r="R41" s="31"/>
      <c r="S41" s="31"/>
      <c r="T41" s="31"/>
      <c r="U41" s="31"/>
      <c r="V41" s="32"/>
      <c r="W41" s="26"/>
      <c r="X41" s="26"/>
      <c r="Y41" s="32"/>
      <c r="Z41" s="32">
        <f>+P41</f>
        <v>400</v>
      </c>
      <c r="AA41" s="32">
        <f>+Z41</f>
        <v>400</v>
      </c>
      <c r="AB41" s="26"/>
      <c r="AC41" s="26"/>
      <c r="AD41" s="26"/>
      <c r="AE41" s="26"/>
    </row>
    <row r="42" spans="1:31" x14ac:dyDescent="0.35">
      <c r="A42" s="26">
        <v>41</v>
      </c>
      <c r="B42" s="26" t="s">
        <v>1264</v>
      </c>
      <c r="C42" s="26" t="s">
        <v>1273</v>
      </c>
      <c r="D42" s="26" t="s">
        <v>1309</v>
      </c>
      <c r="E42" s="26">
        <v>10</v>
      </c>
      <c r="F42" s="26">
        <v>10</v>
      </c>
      <c r="G42" s="26">
        <v>3</v>
      </c>
      <c r="H42" s="27" t="s">
        <v>1338</v>
      </c>
      <c r="I42" s="31">
        <v>1</v>
      </c>
      <c r="J42" s="31">
        <v>1</v>
      </c>
      <c r="K42" s="31"/>
      <c r="L42" s="31"/>
      <c r="M42" s="31"/>
      <c r="N42" s="31"/>
      <c r="O42" s="31"/>
      <c r="P42" s="31">
        <f>+I42*J42*E42*F42</f>
        <v>100</v>
      </c>
      <c r="Q42" s="31"/>
      <c r="R42" s="31"/>
      <c r="S42" s="31"/>
      <c r="T42" s="31"/>
      <c r="U42" s="31"/>
      <c r="V42" s="32"/>
      <c r="W42" s="26"/>
      <c r="X42" s="26"/>
      <c r="Y42" s="32"/>
      <c r="Z42" s="32">
        <f>+P42</f>
        <v>100</v>
      </c>
      <c r="AA42" s="32">
        <f>+Z42</f>
        <v>100</v>
      </c>
      <c r="AB42" s="26"/>
      <c r="AC42" s="26"/>
      <c r="AD42" s="26"/>
      <c r="AE42" s="26"/>
    </row>
    <row r="43" spans="1:31" ht="29" x14ac:dyDescent="0.35">
      <c r="A43" s="26">
        <v>42</v>
      </c>
      <c r="B43" s="26" t="s">
        <v>1266</v>
      </c>
      <c r="C43" s="26" t="s">
        <v>1274</v>
      </c>
      <c r="D43" s="26" t="s">
        <v>1309</v>
      </c>
      <c r="E43" s="26">
        <v>10</v>
      </c>
      <c r="F43" s="26">
        <v>10</v>
      </c>
      <c r="G43" s="26">
        <v>3</v>
      </c>
      <c r="H43" s="27" t="s">
        <v>1339</v>
      </c>
      <c r="I43" s="31">
        <v>1</v>
      </c>
      <c r="J43" s="31">
        <v>1</v>
      </c>
      <c r="K43" s="31"/>
      <c r="L43" s="31"/>
      <c r="M43" s="31"/>
      <c r="N43" s="31"/>
      <c r="O43" s="31"/>
      <c r="P43" s="31">
        <f>+I43*J43*E43*F43</f>
        <v>100</v>
      </c>
      <c r="Q43" s="31"/>
      <c r="R43" s="31"/>
      <c r="S43" s="31"/>
      <c r="T43" s="31"/>
      <c r="U43" s="31"/>
      <c r="V43" s="32"/>
      <c r="W43" s="26"/>
      <c r="X43" s="26"/>
      <c r="Y43" s="32"/>
      <c r="Z43" s="32"/>
      <c r="AA43" s="26"/>
      <c r="AB43" s="32">
        <f>+P43</f>
        <v>100</v>
      </c>
      <c r="AC43" s="32"/>
      <c r="AD43" s="32"/>
      <c r="AE43" s="32"/>
    </row>
    <row r="44" spans="1:31" x14ac:dyDescent="0.35">
      <c r="A44" s="26">
        <v>43</v>
      </c>
      <c r="B44" s="26" t="s">
        <v>1314</v>
      </c>
      <c r="C44" s="26" t="s">
        <v>1275</v>
      </c>
      <c r="D44" s="26" t="s">
        <v>1309</v>
      </c>
      <c r="E44" s="26">
        <v>10</v>
      </c>
      <c r="F44" s="26">
        <v>10</v>
      </c>
      <c r="G44" s="26">
        <v>3</v>
      </c>
      <c r="H44" s="27" t="s">
        <v>1338</v>
      </c>
      <c r="I44" s="31">
        <v>1</v>
      </c>
      <c r="J44" s="31">
        <v>1</v>
      </c>
      <c r="K44" s="31"/>
      <c r="L44" s="31"/>
      <c r="M44" s="31"/>
      <c r="N44" s="31"/>
      <c r="O44" s="31"/>
      <c r="P44" s="31">
        <f>+I44*J44*E44*F44</f>
        <v>100</v>
      </c>
      <c r="Q44" s="31"/>
      <c r="R44" s="31"/>
      <c r="S44" s="31"/>
      <c r="T44" s="31"/>
      <c r="U44" s="31"/>
      <c r="V44" s="32"/>
      <c r="W44" s="26"/>
      <c r="X44" s="26"/>
      <c r="Y44" s="32"/>
      <c r="Z44" s="32">
        <f t="shared" ref="Z44:Z51" si="13">+P44</f>
        <v>100</v>
      </c>
      <c r="AA44" s="32">
        <f t="shared" ref="AA44:AA51" si="14">+Z44</f>
        <v>100</v>
      </c>
      <c r="AB44" s="26"/>
      <c r="AC44" s="26"/>
      <c r="AD44" s="26"/>
      <c r="AE44" s="26"/>
    </row>
    <row r="45" spans="1:31" x14ac:dyDescent="0.35">
      <c r="A45" s="26">
        <v>44</v>
      </c>
      <c r="B45" s="26" t="s">
        <v>1264</v>
      </c>
      <c r="C45" s="26" t="s">
        <v>1273</v>
      </c>
      <c r="D45" s="26" t="s">
        <v>1328</v>
      </c>
      <c r="E45" s="26">
        <v>1</v>
      </c>
      <c r="F45" s="26"/>
      <c r="G45" s="26">
        <v>2</v>
      </c>
      <c r="H45" s="27" t="s">
        <v>1338</v>
      </c>
      <c r="I45" s="31">
        <v>20</v>
      </c>
      <c r="J45" s="31">
        <v>-1</v>
      </c>
      <c r="K45" s="31"/>
      <c r="L45" s="31"/>
      <c r="M45" s="31"/>
      <c r="N45" s="31"/>
      <c r="O45" s="31"/>
      <c r="P45" s="31">
        <f t="shared" ref="P45:P51" si="15">+I45*J45*E45*G45</f>
        <v>-40</v>
      </c>
      <c r="Q45" s="31"/>
      <c r="R45" s="31"/>
      <c r="S45" s="31"/>
      <c r="T45" s="31"/>
      <c r="U45" s="31"/>
      <c r="V45" s="32"/>
      <c r="W45" s="26"/>
      <c r="X45" s="26"/>
      <c r="Y45" s="32"/>
      <c r="Z45" s="32">
        <f t="shared" si="13"/>
        <v>-40</v>
      </c>
      <c r="AA45" s="32">
        <f t="shared" si="14"/>
        <v>-40</v>
      </c>
      <c r="AB45" s="26"/>
      <c r="AC45" s="26"/>
      <c r="AD45" s="26"/>
      <c r="AE45" s="26"/>
    </row>
    <row r="46" spans="1:31" x14ac:dyDescent="0.35">
      <c r="A46" s="26">
        <v>45</v>
      </c>
      <c r="B46" s="26" t="s">
        <v>1266</v>
      </c>
      <c r="C46" s="26" t="s">
        <v>1274</v>
      </c>
      <c r="D46" s="26" t="s">
        <v>1329</v>
      </c>
      <c r="E46" s="26">
        <v>1</v>
      </c>
      <c r="F46" s="26"/>
      <c r="G46" s="26">
        <v>2</v>
      </c>
      <c r="H46" s="27" t="s">
        <v>1338</v>
      </c>
      <c r="I46" s="31">
        <v>20</v>
      </c>
      <c r="J46" s="31">
        <v>-1</v>
      </c>
      <c r="K46" s="31"/>
      <c r="L46" s="31"/>
      <c r="M46" s="31"/>
      <c r="N46" s="31"/>
      <c r="O46" s="31"/>
      <c r="P46" s="31">
        <f t="shared" si="15"/>
        <v>-40</v>
      </c>
      <c r="Q46" s="31"/>
      <c r="R46" s="31"/>
      <c r="S46" s="31"/>
      <c r="T46" s="31"/>
      <c r="U46" s="31"/>
      <c r="V46" s="32"/>
      <c r="W46" s="26"/>
      <c r="X46" s="26"/>
      <c r="Y46" s="32"/>
      <c r="Z46" s="32">
        <f t="shared" si="13"/>
        <v>-40</v>
      </c>
      <c r="AA46" s="32">
        <f t="shared" si="14"/>
        <v>-40</v>
      </c>
      <c r="AB46" s="26"/>
      <c r="AC46" s="26"/>
      <c r="AD46" s="26"/>
      <c r="AE46" s="26"/>
    </row>
    <row r="47" spans="1:31" x14ac:dyDescent="0.35">
      <c r="A47" s="26">
        <v>46</v>
      </c>
      <c r="B47" s="26" t="s">
        <v>1314</v>
      </c>
      <c r="C47" s="26" t="s">
        <v>1275</v>
      </c>
      <c r="D47" s="26" t="s">
        <v>1330</v>
      </c>
      <c r="E47" s="26">
        <v>1</v>
      </c>
      <c r="F47" s="26"/>
      <c r="G47" s="26">
        <v>2</v>
      </c>
      <c r="H47" s="27" t="s">
        <v>1338</v>
      </c>
      <c r="I47" s="31">
        <v>20</v>
      </c>
      <c r="J47" s="31">
        <v>-1</v>
      </c>
      <c r="K47" s="31"/>
      <c r="L47" s="31"/>
      <c r="M47" s="31"/>
      <c r="N47" s="31"/>
      <c r="O47" s="31"/>
      <c r="P47" s="31">
        <f t="shared" si="15"/>
        <v>-40</v>
      </c>
      <c r="Q47" s="31"/>
      <c r="R47" s="31"/>
      <c r="S47" s="31"/>
      <c r="T47" s="31"/>
      <c r="U47" s="31"/>
      <c r="V47" s="32"/>
      <c r="W47" s="26"/>
      <c r="X47" s="26"/>
      <c r="Y47" s="32"/>
      <c r="Z47" s="32">
        <f t="shared" si="13"/>
        <v>-40</v>
      </c>
      <c r="AA47" s="32">
        <f t="shared" si="14"/>
        <v>-40</v>
      </c>
      <c r="AB47" s="26"/>
      <c r="AC47" s="26"/>
      <c r="AD47" s="26"/>
      <c r="AE47" s="26"/>
    </row>
    <row r="48" spans="1:31" x14ac:dyDescent="0.35">
      <c r="A48" s="26">
        <v>47</v>
      </c>
      <c r="B48" s="26" t="s">
        <v>1264</v>
      </c>
      <c r="C48" s="26" t="s">
        <v>1273</v>
      </c>
      <c r="D48" s="26" t="s">
        <v>1331</v>
      </c>
      <c r="E48" s="26">
        <v>1</v>
      </c>
      <c r="F48" s="26"/>
      <c r="G48" s="26">
        <v>2</v>
      </c>
      <c r="H48" s="27" t="s">
        <v>1338</v>
      </c>
      <c r="I48" s="31">
        <v>20</v>
      </c>
      <c r="J48" s="31">
        <v>-1</v>
      </c>
      <c r="K48" s="31"/>
      <c r="L48" s="31"/>
      <c r="M48" s="31"/>
      <c r="N48" s="31"/>
      <c r="O48" s="31"/>
      <c r="P48" s="31">
        <f t="shared" si="15"/>
        <v>-40</v>
      </c>
      <c r="Q48" s="31"/>
      <c r="R48" s="31"/>
      <c r="S48" s="31"/>
      <c r="T48" s="31"/>
      <c r="U48" s="31"/>
      <c r="V48" s="32"/>
      <c r="W48" s="26"/>
      <c r="X48" s="26"/>
      <c r="Y48" s="32"/>
      <c r="Z48" s="32">
        <f t="shared" si="13"/>
        <v>-40</v>
      </c>
      <c r="AA48" s="32">
        <f t="shared" si="14"/>
        <v>-40</v>
      </c>
      <c r="AB48" s="26"/>
      <c r="AC48" s="26"/>
      <c r="AD48" s="26"/>
      <c r="AE48" s="26"/>
    </row>
    <row r="49" spans="1:31" x14ac:dyDescent="0.35">
      <c r="A49" s="26">
        <v>48</v>
      </c>
      <c r="B49" s="26" t="s">
        <v>1266</v>
      </c>
      <c r="C49" s="26" t="s">
        <v>1274</v>
      </c>
      <c r="D49" s="26" t="s">
        <v>1332</v>
      </c>
      <c r="E49" s="26">
        <v>1</v>
      </c>
      <c r="F49" s="26"/>
      <c r="G49" s="26">
        <v>2</v>
      </c>
      <c r="H49" s="27" t="s">
        <v>1338</v>
      </c>
      <c r="I49" s="31">
        <v>20</v>
      </c>
      <c r="J49" s="31">
        <v>-1</v>
      </c>
      <c r="K49" s="31"/>
      <c r="L49" s="31"/>
      <c r="M49" s="31"/>
      <c r="N49" s="31"/>
      <c r="O49" s="31"/>
      <c r="P49" s="31">
        <f t="shared" si="15"/>
        <v>-40</v>
      </c>
      <c r="Q49" s="31"/>
      <c r="R49" s="31"/>
      <c r="S49" s="31"/>
      <c r="T49" s="31"/>
      <c r="U49" s="31"/>
      <c r="V49" s="32"/>
      <c r="W49" s="26"/>
      <c r="X49" s="26"/>
      <c r="Y49" s="32"/>
      <c r="Z49" s="32">
        <f t="shared" si="13"/>
        <v>-40</v>
      </c>
      <c r="AA49" s="32">
        <f t="shared" si="14"/>
        <v>-40</v>
      </c>
      <c r="AB49" s="26"/>
      <c r="AC49" s="26"/>
      <c r="AD49" s="26"/>
      <c r="AE49" s="26"/>
    </row>
    <row r="50" spans="1:31" x14ac:dyDescent="0.35">
      <c r="A50" s="26">
        <v>49</v>
      </c>
      <c r="B50" s="26" t="s">
        <v>1264</v>
      </c>
      <c r="C50" s="26" t="s">
        <v>1273</v>
      </c>
      <c r="D50" s="26" t="s">
        <v>1331</v>
      </c>
      <c r="E50" s="26">
        <v>1</v>
      </c>
      <c r="F50" s="26"/>
      <c r="G50" s="26">
        <v>1</v>
      </c>
      <c r="H50" s="27" t="s">
        <v>1338</v>
      </c>
      <c r="I50" s="31">
        <v>20</v>
      </c>
      <c r="J50" s="31">
        <v>-1</v>
      </c>
      <c r="K50" s="31"/>
      <c r="L50" s="31"/>
      <c r="M50" s="31"/>
      <c r="N50" s="31"/>
      <c r="O50" s="31"/>
      <c r="P50" s="31">
        <f t="shared" si="15"/>
        <v>-20</v>
      </c>
      <c r="Q50" s="31"/>
      <c r="R50" s="31"/>
      <c r="S50" s="31"/>
      <c r="T50" s="31"/>
      <c r="U50" s="31"/>
      <c r="V50" s="32"/>
      <c r="W50" s="26"/>
      <c r="X50" s="26"/>
      <c r="Y50" s="32"/>
      <c r="Z50" s="32">
        <f t="shared" si="13"/>
        <v>-20</v>
      </c>
      <c r="AA50" s="32">
        <f t="shared" si="14"/>
        <v>-20</v>
      </c>
      <c r="AB50" s="26"/>
      <c r="AC50" s="26"/>
      <c r="AD50" s="26"/>
      <c r="AE50" s="26"/>
    </row>
    <row r="51" spans="1:31" x14ac:dyDescent="0.35">
      <c r="A51" s="26">
        <v>50</v>
      </c>
      <c r="B51" s="26" t="s">
        <v>1266</v>
      </c>
      <c r="C51" s="26" t="s">
        <v>1274</v>
      </c>
      <c r="D51" s="26" t="s">
        <v>1332</v>
      </c>
      <c r="E51" s="26">
        <v>1</v>
      </c>
      <c r="F51" s="26"/>
      <c r="G51" s="26">
        <v>1</v>
      </c>
      <c r="H51" s="27" t="s">
        <v>1338</v>
      </c>
      <c r="I51" s="31">
        <v>20</v>
      </c>
      <c r="J51" s="31">
        <v>-1</v>
      </c>
      <c r="K51" s="31"/>
      <c r="L51" s="31"/>
      <c r="M51" s="31"/>
      <c r="N51" s="31"/>
      <c r="O51" s="31"/>
      <c r="P51" s="31">
        <f t="shared" si="15"/>
        <v>-20</v>
      </c>
      <c r="Q51" s="31"/>
      <c r="R51" s="31"/>
      <c r="S51" s="31"/>
      <c r="T51" s="31"/>
      <c r="U51" s="31"/>
      <c r="V51" s="32"/>
      <c r="W51" s="26"/>
      <c r="X51" s="26"/>
      <c r="Y51" s="32"/>
      <c r="Z51" s="32">
        <f t="shared" si="13"/>
        <v>-20</v>
      </c>
      <c r="AA51" s="32">
        <f t="shared" si="14"/>
        <v>-20</v>
      </c>
      <c r="AB51" s="26"/>
      <c r="AC51" s="26"/>
      <c r="AD51" s="26"/>
      <c r="AE51" s="26"/>
    </row>
    <row r="52" spans="1:31" ht="29" x14ac:dyDescent="0.35">
      <c r="A52" s="26">
        <v>51</v>
      </c>
      <c r="B52" s="26" t="s">
        <v>1264</v>
      </c>
      <c r="C52" s="26" t="s">
        <v>1273</v>
      </c>
      <c r="D52" s="26" t="s">
        <v>1252</v>
      </c>
      <c r="E52" s="26">
        <v>10</v>
      </c>
      <c r="F52" s="26">
        <v>10</v>
      </c>
      <c r="G52" s="26">
        <v>3</v>
      </c>
      <c r="H52" s="27" t="s">
        <v>1345</v>
      </c>
      <c r="I52" s="31">
        <v>1</v>
      </c>
      <c r="J52" s="31">
        <v>1</v>
      </c>
      <c r="K52" s="31"/>
      <c r="L52" s="31"/>
      <c r="M52" s="31"/>
      <c r="N52" s="31"/>
      <c r="O52" s="31"/>
      <c r="P52" s="31">
        <f>+I52*J52*E52*F52</f>
        <v>100</v>
      </c>
      <c r="Q52" s="31"/>
      <c r="R52" s="31">
        <f>I52*J52*(E52*2+F52*2)</f>
        <v>40</v>
      </c>
      <c r="S52" s="31">
        <f>+R52*G52</f>
        <v>120</v>
      </c>
      <c r="T52" s="31"/>
      <c r="U52" s="31"/>
      <c r="V52" s="32"/>
      <c r="W52" s="26"/>
      <c r="X52" s="26"/>
      <c r="Y52" s="32"/>
      <c r="Z52" s="26"/>
      <c r="AA52" s="26"/>
      <c r="AB52" s="26"/>
      <c r="AC52" s="32">
        <f>+S52</f>
        <v>120</v>
      </c>
      <c r="AD52" s="26"/>
      <c r="AE52" s="26"/>
    </row>
    <row r="53" spans="1:31" ht="29" x14ac:dyDescent="0.35">
      <c r="A53" s="26">
        <v>52</v>
      </c>
      <c r="B53" s="26" t="s">
        <v>1266</v>
      </c>
      <c r="C53" s="26" t="s">
        <v>1274</v>
      </c>
      <c r="D53" s="26" t="s">
        <v>1252</v>
      </c>
      <c r="E53" s="26">
        <v>10</v>
      </c>
      <c r="F53" s="26">
        <v>10</v>
      </c>
      <c r="G53" s="26">
        <v>3</v>
      </c>
      <c r="H53" s="27" t="s">
        <v>1345</v>
      </c>
      <c r="I53" s="31">
        <v>1</v>
      </c>
      <c r="J53" s="31">
        <v>1</v>
      </c>
      <c r="K53" s="31"/>
      <c r="L53" s="31"/>
      <c r="M53" s="31"/>
      <c r="N53" s="31"/>
      <c r="O53" s="31"/>
      <c r="P53" s="31">
        <f>+I53*J53*E53*F53</f>
        <v>100</v>
      </c>
      <c r="Q53" s="31"/>
      <c r="R53" s="31">
        <f>I53*J53*(E53*2+F53*2)</f>
        <v>40</v>
      </c>
      <c r="S53" s="31">
        <f>+R53*G53</f>
        <v>120</v>
      </c>
      <c r="T53" s="31"/>
      <c r="U53" s="31"/>
      <c r="V53" s="32"/>
      <c r="W53" s="26"/>
      <c r="X53" s="26"/>
      <c r="Y53" s="32"/>
      <c r="Z53" s="26"/>
      <c r="AA53" s="26"/>
      <c r="AB53" s="26"/>
      <c r="AC53" s="32">
        <f>+S53</f>
        <v>120</v>
      </c>
      <c r="AD53" s="26"/>
      <c r="AE53" s="26"/>
    </row>
    <row r="54" spans="1:31" ht="29" x14ac:dyDescent="0.35">
      <c r="A54" s="26">
        <v>53</v>
      </c>
      <c r="B54" s="26" t="s">
        <v>1314</v>
      </c>
      <c r="C54" s="26" t="s">
        <v>1275</v>
      </c>
      <c r="D54" s="26" t="s">
        <v>1253</v>
      </c>
      <c r="E54" s="26">
        <v>10</v>
      </c>
      <c r="F54" s="26">
        <v>10</v>
      </c>
      <c r="G54" s="26">
        <v>3</v>
      </c>
      <c r="H54" s="27" t="s">
        <v>1345</v>
      </c>
      <c r="I54" s="31">
        <v>1</v>
      </c>
      <c r="J54" s="31">
        <v>1</v>
      </c>
      <c r="K54" s="31"/>
      <c r="L54" s="31"/>
      <c r="M54" s="31"/>
      <c r="N54" s="31"/>
      <c r="O54" s="31"/>
      <c r="P54" s="31">
        <f>+I54*J54*E54*F54</f>
        <v>100</v>
      </c>
      <c r="Q54" s="31"/>
      <c r="R54" s="31">
        <f>I54*J54*(E54*2+F54*2)</f>
        <v>40</v>
      </c>
      <c r="S54" s="31">
        <f>+R54*G54</f>
        <v>120</v>
      </c>
      <c r="T54" s="31"/>
      <c r="U54" s="31"/>
      <c r="V54" s="32"/>
      <c r="W54" s="26"/>
      <c r="X54" s="26"/>
      <c r="Y54" s="32"/>
      <c r="Z54" s="26"/>
      <c r="AA54" s="26"/>
      <c r="AB54" s="26"/>
      <c r="AC54" s="26"/>
      <c r="AD54" s="32">
        <f>+S54</f>
        <v>120</v>
      </c>
      <c r="AE54" s="26"/>
    </row>
    <row r="55" spans="1:31" ht="29" x14ac:dyDescent="0.35">
      <c r="A55" s="26">
        <v>54</v>
      </c>
      <c r="B55" s="26" t="s">
        <v>1264</v>
      </c>
      <c r="C55" s="26" t="s">
        <v>1273</v>
      </c>
      <c r="D55" s="26" t="s">
        <v>1252</v>
      </c>
      <c r="E55" s="26">
        <v>1</v>
      </c>
      <c r="F55" s="26"/>
      <c r="G55" s="26">
        <v>2</v>
      </c>
      <c r="H55" s="27" t="s">
        <v>1345</v>
      </c>
      <c r="I55" s="31">
        <v>20</v>
      </c>
      <c r="J55" s="31">
        <v>-1</v>
      </c>
      <c r="K55" s="31"/>
      <c r="L55" s="31"/>
      <c r="M55" s="31"/>
      <c r="N55" s="31"/>
      <c r="O55" s="31"/>
      <c r="P55" s="31">
        <f>+I55*J55*E55*G55</f>
        <v>-40</v>
      </c>
      <c r="Q55" s="31"/>
      <c r="R55" s="31"/>
      <c r="S55" s="31"/>
      <c r="T55" s="31"/>
      <c r="U55" s="31"/>
      <c r="V55" s="32"/>
      <c r="W55" s="26"/>
      <c r="X55" s="26"/>
      <c r="Y55" s="32"/>
      <c r="Z55" s="26"/>
      <c r="AA55" s="26"/>
      <c r="AB55" s="26"/>
      <c r="AC55" s="32">
        <f>+P55</f>
        <v>-40</v>
      </c>
      <c r="AD55" s="26"/>
      <c r="AE55" s="26"/>
    </row>
    <row r="56" spans="1:31" ht="29" x14ac:dyDescent="0.35">
      <c r="A56" s="26">
        <v>55</v>
      </c>
      <c r="B56" s="26" t="s">
        <v>1266</v>
      </c>
      <c r="C56" s="26" t="s">
        <v>1274</v>
      </c>
      <c r="D56" s="26" t="s">
        <v>1252</v>
      </c>
      <c r="E56" s="26">
        <v>1</v>
      </c>
      <c r="F56" s="26"/>
      <c r="G56" s="26">
        <v>2</v>
      </c>
      <c r="H56" s="27" t="s">
        <v>1345</v>
      </c>
      <c r="I56" s="31">
        <v>20</v>
      </c>
      <c r="J56" s="31">
        <v>-1</v>
      </c>
      <c r="K56" s="31"/>
      <c r="L56" s="31"/>
      <c r="M56" s="31"/>
      <c r="N56" s="31"/>
      <c r="O56" s="31"/>
      <c r="P56" s="31">
        <f>+I56*J56*E56*G56</f>
        <v>-40</v>
      </c>
      <c r="Q56" s="31"/>
      <c r="R56" s="31"/>
      <c r="S56" s="31"/>
      <c r="T56" s="31"/>
      <c r="U56" s="31"/>
      <c r="V56" s="32"/>
      <c r="W56" s="26"/>
      <c r="X56" s="26"/>
      <c r="Y56" s="32"/>
      <c r="Z56" s="26"/>
      <c r="AA56" s="26"/>
      <c r="AB56" s="26"/>
      <c r="AC56" s="32">
        <f>+P56</f>
        <v>-40</v>
      </c>
      <c r="AD56" s="26"/>
      <c r="AE56" s="26"/>
    </row>
    <row r="57" spans="1:31" ht="29" x14ac:dyDescent="0.35">
      <c r="A57" s="26">
        <v>56</v>
      </c>
      <c r="B57" s="26" t="s">
        <v>1314</v>
      </c>
      <c r="C57" s="26" t="s">
        <v>1275</v>
      </c>
      <c r="D57" s="26" t="s">
        <v>1253</v>
      </c>
      <c r="E57" s="26">
        <v>1</v>
      </c>
      <c r="F57" s="26"/>
      <c r="G57" s="26">
        <v>2</v>
      </c>
      <c r="H57" s="27" t="s">
        <v>1345</v>
      </c>
      <c r="I57" s="31">
        <v>20</v>
      </c>
      <c r="J57" s="31">
        <v>-1</v>
      </c>
      <c r="K57" s="31"/>
      <c r="L57" s="31"/>
      <c r="M57" s="31"/>
      <c r="N57" s="31"/>
      <c r="O57" s="31"/>
      <c r="P57" s="31">
        <f>+I57*J57*E57*G57</f>
        <v>-40</v>
      </c>
      <c r="Q57" s="31"/>
      <c r="R57" s="31"/>
      <c r="S57" s="31"/>
      <c r="T57" s="31"/>
      <c r="U57" s="31"/>
      <c r="V57" s="32"/>
      <c r="W57" s="26"/>
      <c r="X57" s="26"/>
      <c r="Y57" s="32"/>
      <c r="Z57" s="26"/>
      <c r="AA57" s="26"/>
      <c r="AB57" s="26"/>
      <c r="AC57" s="26"/>
      <c r="AD57" s="32">
        <f>+P57</f>
        <v>-40</v>
      </c>
      <c r="AE57" s="26"/>
    </row>
    <row r="58" spans="1:31" x14ac:dyDescent="0.35">
      <c r="A58" s="26">
        <v>57</v>
      </c>
      <c r="B58" s="26" t="s">
        <v>1264</v>
      </c>
      <c r="C58" s="26" t="s">
        <v>1273</v>
      </c>
      <c r="D58" s="26" t="s">
        <v>1309</v>
      </c>
      <c r="E58" s="26">
        <v>10</v>
      </c>
      <c r="F58" s="26">
        <v>10</v>
      </c>
      <c r="G58" s="26">
        <v>3</v>
      </c>
      <c r="H58" s="27" t="s">
        <v>1345</v>
      </c>
      <c r="I58" s="31">
        <v>1</v>
      </c>
      <c r="J58" s="31">
        <v>1</v>
      </c>
      <c r="K58" s="31"/>
      <c r="L58" s="31"/>
      <c r="M58" s="31"/>
      <c r="N58" s="31"/>
      <c r="O58" s="31"/>
      <c r="P58" s="31">
        <f>+I58*J58*E58*F58</f>
        <v>100</v>
      </c>
      <c r="Q58" s="31"/>
      <c r="R58" s="31"/>
      <c r="S58" s="31"/>
      <c r="T58" s="31"/>
      <c r="U58" s="31"/>
      <c r="V58" s="32"/>
      <c r="W58" s="26"/>
      <c r="X58" s="26"/>
      <c r="Y58" s="32"/>
      <c r="Z58" s="26"/>
      <c r="AA58" s="26"/>
      <c r="AB58" s="26"/>
      <c r="AC58" s="26"/>
      <c r="AD58" s="26"/>
      <c r="AE58" s="32">
        <f>+P58</f>
        <v>100</v>
      </c>
    </row>
    <row r="59" spans="1:31" x14ac:dyDescent="0.35">
      <c r="A59" s="26">
        <v>58</v>
      </c>
      <c r="B59" s="26" t="s">
        <v>1266</v>
      </c>
      <c r="C59" s="26" t="s">
        <v>1274</v>
      </c>
      <c r="D59" s="26" t="s">
        <v>1309</v>
      </c>
      <c r="E59" s="26">
        <v>10</v>
      </c>
      <c r="F59" s="26">
        <v>10</v>
      </c>
      <c r="G59" s="26">
        <v>3</v>
      </c>
      <c r="H59" s="27" t="s">
        <v>1345</v>
      </c>
      <c r="I59" s="31">
        <v>1</v>
      </c>
      <c r="J59" s="31">
        <v>1</v>
      </c>
      <c r="K59" s="31"/>
      <c r="L59" s="31"/>
      <c r="M59" s="31"/>
      <c r="N59" s="31"/>
      <c r="O59" s="31"/>
      <c r="P59" s="31">
        <f>+I59*J59*E59*F59</f>
        <v>100</v>
      </c>
      <c r="Q59" s="31"/>
      <c r="R59" s="31"/>
      <c r="S59" s="31"/>
      <c r="T59" s="31"/>
      <c r="U59" s="31"/>
      <c r="V59" s="32"/>
      <c r="W59" s="26"/>
      <c r="X59" s="26"/>
      <c r="Y59" s="32"/>
      <c r="Z59" s="26"/>
      <c r="AA59" s="26"/>
      <c r="AB59" s="26"/>
      <c r="AC59" s="26"/>
      <c r="AD59" s="26"/>
      <c r="AE59" s="32">
        <f>+P59</f>
        <v>100</v>
      </c>
    </row>
    <row r="60" spans="1:31" x14ac:dyDescent="0.35">
      <c r="A60" s="26">
        <v>59</v>
      </c>
      <c r="B60" s="26" t="s">
        <v>1314</v>
      </c>
      <c r="C60" s="26" t="s">
        <v>1275</v>
      </c>
      <c r="D60" s="26" t="s">
        <v>1309</v>
      </c>
      <c r="E60" s="26">
        <v>10</v>
      </c>
      <c r="F60" s="26">
        <v>10</v>
      </c>
      <c r="G60" s="26">
        <v>3</v>
      </c>
      <c r="H60" s="27" t="s">
        <v>1345</v>
      </c>
      <c r="I60" s="31">
        <v>1</v>
      </c>
      <c r="J60" s="31">
        <v>1</v>
      </c>
      <c r="K60" s="31"/>
      <c r="L60" s="31"/>
      <c r="M60" s="31"/>
      <c r="N60" s="31"/>
      <c r="O60" s="31"/>
      <c r="P60" s="31">
        <f>+I60*J60*E60*F60</f>
        <v>100</v>
      </c>
      <c r="Q60" s="31"/>
      <c r="R60" s="31"/>
      <c r="S60" s="31"/>
      <c r="T60" s="31"/>
      <c r="U60" s="31"/>
      <c r="V60" s="26"/>
      <c r="W60" s="32"/>
      <c r="X60" s="26"/>
      <c r="Y60" s="26"/>
      <c r="Z60" s="26"/>
      <c r="AA60" s="26"/>
      <c r="AB60" s="26"/>
      <c r="AC60" s="26"/>
      <c r="AD60" s="26"/>
      <c r="AE60" s="32">
        <f>+P60</f>
        <v>100</v>
      </c>
    </row>
    <row r="61" spans="1:31" x14ac:dyDescent="0.35">
      <c r="A61" s="26"/>
      <c r="B61" s="26"/>
      <c r="C61" s="26"/>
      <c r="D61" s="26"/>
      <c r="E61" s="26"/>
      <c r="F61" s="26"/>
      <c r="G61" s="26"/>
      <c r="H61" s="27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26"/>
      <c r="W61" s="32"/>
      <c r="X61" s="26"/>
      <c r="Y61" s="26"/>
      <c r="Z61" s="26"/>
      <c r="AA61" s="26"/>
      <c r="AB61" s="26"/>
      <c r="AC61" s="26"/>
      <c r="AD61" s="26"/>
      <c r="AE61" s="26"/>
    </row>
    <row r="62" spans="1:31" s="23" customFormat="1" x14ac:dyDescent="0.35">
      <c r="A62" s="33"/>
      <c r="B62" s="33"/>
      <c r="C62" s="33"/>
      <c r="D62" s="28"/>
      <c r="E62" s="33"/>
      <c r="F62" s="33"/>
      <c r="G62" s="33"/>
      <c r="H62" s="33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5"/>
      <c r="W62" s="35"/>
      <c r="X62" s="33"/>
      <c r="Y62" s="33"/>
      <c r="Z62" s="33"/>
      <c r="AA62" s="33"/>
      <c r="AB62" s="33"/>
      <c r="AC62" s="33"/>
      <c r="AD62" s="33"/>
      <c r="AE62" s="33"/>
    </row>
    <row r="63" spans="1:31" s="21" customFormat="1" x14ac:dyDescent="0.35">
      <c r="A63" s="24"/>
      <c r="B63" s="24"/>
      <c r="C63" s="24"/>
      <c r="D63" s="24"/>
      <c r="E63" s="24"/>
      <c r="F63" s="24"/>
      <c r="G63" s="24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30">
        <f t="shared" ref="T63:AB63" si="16">SUM(T2:T62)</f>
        <v>6000</v>
      </c>
      <c r="U63" s="30">
        <f t="shared" si="16"/>
        <v>3000</v>
      </c>
      <c r="V63" s="30">
        <f t="shared" si="16"/>
        <v>1500</v>
      </c>
      <c r="W63" s="30">
        <f t="shared" si="16"/>
        <v>75</v>
      </c>
      <c r="X63" s="30">
        <f t="shared" si="16"/>
        <v>18</v>
      </c>
      <c r="Y63" s="30">
        <f t="shared" si="16"/>
        <v>1500</v>
      </c>
      <c r="Z63" s="30">
        <f t="shared" si="16"/>
        <v>3720</v>
      </c>
      <c r="AA63" s="30">
        <f t="shared" si="16"/>
        <v>1560</v>
      </c>
      <c r="AB63" s="30">
        <f t="shared" si="16"/>
        <v>900</v>
      </c>
      <c r="AC63" s="30">
        <f t="shared" ref="AC63:AE63" si="17">SUM(AC2:AC62)</f>
        <v>160</v>
      </c>
      <c r="AD63" s="30">
        <f t="shared" si="17"/>
        <v>80</v>
      </c>
      <c r="AE63" s="30">
        <f t="shared" si="17"/>
        <v>300</v>
      </c>
    </row>
    <row r="64" spans="1:31" s="21" customFormat="1" x14ac:dyDescent="0.35">
      <c r="A64" s="24"/>
      <c r="B64" s="24"/>
      <c r="C64" s="24"/>
      <c r="D64" s="24"/>
      <c r="E64" s="24"/>
      <c r="F64" s="24"/>
      <c r="G64" s="24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 t="s">
        <v>10</v>
      </c>
      <c r="U64" s="25" t="s">
        <v>10</v>
      </c>
      <c r="V64" s="25" t="s">
        <v>10</v>
      </c>
      <c r="W64" s="25" t="s">
        <v>10</v>
      </c>
      <c r="X64" s="25" t="s">
        <v>10</v>
      </c>
      <c r="Y64" s="25" t="s">
        <v>10</v>
      </c>
      <c r="Z64" s="25" t="s">
        <v>10</v>
      </c>
      <c r="AA64" s="25" t="s">
        <v>10</v>
      </c>
      <c r="AB64" s="25" t="s">
        <v>10</v>
      </c>
      <c r="AC64" s="25" t="s">
        <v>10</v>
      </c>
      <c r="AD64" s="25" t="s">
        <v>10</v>
      </c>
      <c r="AE64" s="25" t="s">
        <v>10</v>
      </c>
    </row>
    <row r="65" spans="4:23" x14ac:dyDescent="0.35">
      <c r="W65" s="37"/>
    </row>
    <row r="66" spans="4:23" x14ac:dyDescent="0.35">
      <c r="W66" s="37"/>
    </row>
    <row r="67" spans="4:23" x14ac:dyDescent="0.35">
      <c r="W67" s="37"/>
    </row>
    <row r="68" spans="4:23" x14ac:dyDescent="0.35">
      <c r="W68" s="37"/>
    </row>
    <row r="69" spans="4:23" x14ac:dyDescent="0.35">
      <c r="W69" s="37"/>
    </row>
    <row r="70" spans="4:23" s="22" customFormat="1" x14ac:dyDescent="0.35">
      <c r="D70" s="20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W70" s="37"/>
    </row>
    <row r="71" spans="4:23" s="22" customFormat="1" x14ac:dyDescent="0.35">
      <c r="D71" s="20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W71" s="37"/>
    </row>
  </sheetData>
  <pageMargins left="0.7" right="0.7" top="0.75" bottom="0.75" header="0.3" footer="0.3"/>
  <pageSetup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B75F-7984-47A5-8140-321AE87C3B26}">
  <dimension ref="A1:Y23"/>
  <sheetViews>
    <sheetView view="pageBreakPreview" zoomScaleNormal="70" zoomScaleSheetLayoutView="100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6.08984375" style="22" customWidth="1"/>
    <col min="2" max="2" width="12" style="22" bestFit="1" customWidth="1"/>
    <col min="3" max="3" width="10.6328125" style="22" bestFit="1" customWidth="1"/>
    <col min="4" max="4" width="11" style="20" bestFit="1" customWidth="1"/>
    <col min="5" max="5" width="1.90625" style="22" bestFit="1" customWidth="1"/>
    <col min="6" max="6" width="2" style="22" bestFit="1" customWidth="1"/>
    <col min="7" max="7" width="2.1796875" style="22" bestFit="1" customWidth="1"/>
    <col min="8" max="8" width="9.36328125" style="22" bestFit="1" customWidth="1"/>
    <col min="9" max="9" width="6.26953125" style="36" bestFit="1" customWidth="1"/>
    <col min="10" max="10" width="5.26953125" style="36" bestFit="1" customWidth="1"/>
    <col min="11" max="11" width="2.1796875" style="36" bestFit="1" customWidth="1"/>
    <col min="12" max="12" width="2.453125" style="36" bestFit="1" customWidth="1"/>
    <col min="13" max="13" width="2.54296875" style="36" bestFit="1" customWidth="1"/>
    <col min="14" max="14" width="2.26953125" style="36" bestFit="1" customWidth="1"/>
    <col min="15" max="15" width="4.36328125" style="36" bestFit="1" customWidth="1"/>
    <col min="16" max="16" width="6.26953125" style="36" bestFit="1" customWidth="1"/>
    <col min="17" max="17" width="9.90625" style="36" bestFit="1" customWidth="1"/>
    <col min="18" max="18" width="7.6328125" style="36" bestFit="1" customWidth="1"/>
    <col min="19" max="20" width="6.26953125" style="36" bestFit="1" customWidth="1"/>
    <col min="21" max="22" width="5.26953125" style="22" bestFit="1" customWidth="1"/>
    <col min="23" max="23" width="6.26953125" style="22" bestFit="1" customWidth="1"/>
    <col min="24" max="24" width="11.1796875" style="22" bestFit="1" customWidth="1"/>
    <col min="25" max="25" width="11" style="20" bestFit="1" customWidth="1"/>
    <col min="26" max="16384" width="8.7265625" style="20"/>
  </cols>
  <sheetData>
    <row r="1" spans="1:25" s="21" customFormat="1" ht="29" x14ac:dyDescent="0.35">
      <c r="A1" s="24" t="s">
        <v>110</v>
      </c>
      <c r="B1" s="24" t="s">
        <v>1260</v>
      </c>
      <c r="C1" s="24" t="s">
        <v>1121</v>
      </c>
      <c r="D1" s="24" t="s">
        <v>2</v>
      </c>
      <c r="E1" s="24" t="s">
        <v>1261</v>
      </c>
      <c r="F1" s="24" t="s">
        <v>1138</v>
      </c>
      <c r="G1" s="24" t="s">
        <v>1262</v>
      </c>
      <c r="H1" s="24" t="s">
        <v>1277</v>
      </c>
      <c r="I1" s="25" t="s">
        <v>1200</v>
      </c>
      <c r="J1" s="25" t="s">
        <v>1200</v>
      </c>
      <c r="K1" s="25" t="s">
        <v>1261</v>
      </c>
      <c r="L1" s="25" t="s">
        <v>1138</v>
      </c>
      <c r="M1" s="25" t="s">
        <v>1262</v>
      </c>
      <c r="N1" s="25" t="s">
        <v>1270</v>
      </c>
      <c r="O1" s="25" t="s">
        <v>1263</v>
      </c>
      <c r="P1" s="25" t="s">
        <v>1267</v>
      </c>
      <c r="Q1" s="25" t="s">
        <v>1268</v>
      </c>
      <c r="R1" s="25" t="s">
        <v>1319</v>
      </c>
      <c r="S1" s="24" t="s">
        <v>1340</v>
      </c>
      <c r="T1" s="24" t="s">
        <v>1341</v>
      </c>
      <c r="U1" s="24" t="s">
        <v>1342</v>
      </c>
      <c r="V1" s="24" t="s">
        <v>1343</v>
      </c>
      <c r="W1" s="24" t="s">
        <v>1344</v>
      </c>
      <c r="X1" s="24" t="s">
        <v>1231</v>
      </c>
      <c r="Y1" s="24" t="s">
        <v>1232</v>
      </c>
    </row>
    <row r="2" spans="1:25" x14ac:dyDescent="0.35">
      <c r="A2" s="26">
        <v>54</v>
      </c>
      <c r="B2" s="26" t="s">
        <v>1264</v>
      </c>
      <c r="C2" s="26" t="s">
        <v>1273</v>
      </c>
      <c r="D2" s="26" t="s">
        <v>1340</v>
      </c>
      <c r="E2" s="26">
        <v>1</v>
      </c>
      <c r="F2" s="26"/>
      <c r="G2" s="26">
        <v>2</v>
      </c>
      <c r="H2" s="27" t="s">
        <v>1276</v>
      </c>
      <c r="I2" s="31">
        <v>20</v>
      </c>
      <c r="J2" s="31">
        <v>1</v>
      </c>
      <c r="K2" s="31"/>
      <c r="L2" s="31"/>
      <c r="M2" s="31"/>
      <c r="N2" s="31"/>
      <c r="O2" s="31"/>
      <c r="P2" s="31">
        <f t="shared" ref="P2:P12" si="0">+I2*J2*E2*G2</f>
        <v>40</v>
      </c>
      <c r="Q2" s="31"/>
      <c r="R2" s="31"/>
      <c r="S2" s="31">
        <f>+I2*J2</f>
        <v>20</v>
      </c>
      <c r="T2" s="31"/>
      <c r="U2" s="32"/>
      <c r="V2" s="26"/>
      <c r="W2" s="26"/>
      <c r="X2" s="32"/>
      <c r="Y2" s="26"/>
    </row>
    <row r="3" spans="1:25" x14ac:dyDescent="0.35">
      <c r="A3" s="26">
        <v>55</v>
      </c>
      <c r="B3" s="26" t="s">
        <v>1266</v>
      </c>
      <c r="C3" s="26" t="s">
        <v>1274</v>
      </c>
      <c r="D3" s="26" t="s">
        <v>1341</v>
      </c>
      <c r="E3" s="26">
        <v>1</v>
      </c>
      <c r="F3" s="26"/>
      <c r="G3" s="26">
        <v>2</v>
      </c>
      <c r="H3" s="27" t="s">
        <v>1276</v>
      </c>
      <c r="I3" s="31">
        <v>20</v>
      </c>
      <c r="J3" s="31">
        <v>1</v>
      </c>
      <c r="K3" s="31"/>
      <c r="L3" s="31"/>
      <c r="M3" s="31"/>
      <c r="N3" s="31"/>
      <c r="O3" s="31"/>
      <c r="P3" s="31">
        <f t="shared" si="0"/>
        <v>40</v>
      </c>
      <c r="Q3" s="31"/>
      <c r="R3" s="31"/>
      <c r="S3" s="31"/>
      <c r="T3" s="31">
        <f>+I3*J3</f>
        <v>20</v>
      </c>
      <c r="U3" s="32"/>
      <c r="V3" s="26"/>
      <c r="W3" s="26"/>
      <c r="X3" s="32"/>
      <c r="Y3" s="26"/>
    </row>
    <row r="4" spans="1:25" x14ac:dyDescent="0.35">
      <c r="A4" s="26">
        <v>56</v>
      </c>
      <c r="B4" s="26" t="s">
        <v>1314</v>
      </c>
      <c r="C4" s="26" t="s">
        <v>1275</v>
      </c>
      <c r="D4" s="26" t="s">
        <v>1342</v>
      </c>
      <c r="E4" s="26">
        <v>1</v>
      </c>
      <c r="F4" s="26"/>
      <c r="G4" s="26">
        <v>2</v>
      </c>
      <c r="H4" s="27" t="s">
        <v>1276</v>
      </c>
      <c r="I4" s="31">
        <v>5</v>
      </c>
      <c r="J4" s="31">
        <v>1</v>
      </c>
      <c r="K4" s="31"/>
      <c r="L4" s="31"/>
      <c r="M4" s="31"/>
      <c r="N4" s="31"/>
      <c r="O4" s="31"/>
      <c r="P4" s="31">
        <f t="shared" si="0"/>
        <v>10</v>
      </c>
      <c r="Q4" s="31"/>
      <c r="R4" s="31"/>
      <c r="S4" s="31"/>
      <c r="T4" s="31"/>
      <c r="U4" s="31">
        <f>+I4*J4</f>
        <v>5</v>
      </c>
      <c r="V4" s="26"/>
      <c r="W4" s="26"/>
      <c r="X4" s="32"/>
      <c r="Y4" s="26"/>
    </row>
    <row r="5" spans="1:25" x14ac:dyDescent="0.35">
      <c r="A5" s="26">
        <v>56</v>
      </c>
      <c r="B5" s="26" t="s">
        <v>1314</v>
      </c>
      <c r="C5" s="26" t="s">
        <v>1275</v>
      </c>
      <c r="D5" s="26" t="s">
        <v>1343</v>
      </c>
      <c r="E5" s="26">
        <v>1</v>
      </c>
      <c r="F5" s="26"/>
      <c r="G5" s="26">
        <v>2</v>
      </c>
      <c r="H5" s="27" t="s">
        <v>1276</v>
      </c>
      <c r="I5" s="31">
        <v>5</v>
      </c>
      <c r="J5" s="31">
        <v>1</v>
      </c>
      <c r="K5" s="31"/>
      <c r="L5" s="31"/>
      <c r="M5" s="31"/>
      <c r="N5" s="31"/>
      <c r="O5" s="31"/>
      <c r="P5" s="31">
        <f t="shared" si="0"/>
        <v>10</v>
      </c>
      <c r="Q5" s="31"/>
      <c r="R5" s="31"/>
      <c r="S5" s="31"/>
      <c r="T5" s="31"/>
      <c r="U5" s="32"/>
      <c r="V5" s="31">
        <f>+I5*J5</f>
        <v>5</v>
      </c>
      <c r="W5" s="26"/>
      <c r="X5" s="32"/>
      <c r="Y5" s="26"/>
    </row>
    <row r="6" spans="1:25" x14ac:dyDescent="0.35">
      <c r="A6" s="26">
        <v>56</v>
      </c>
      <c r="B6" s="26" t="s">
        <v>1314</v>
      </c>
      <c r="C6" s="26" t="s">
        <v>1275</v>
      </c>
      <c r="D6" s="26" t="s">
        <v>1344</v>
      </c>
      <c r="E6" s="26">
        <v>1</v>
      </c>
      <c r="F6" s="26"/>
      <c r="G6" s="26">
        <v>2</v>
      </c>
      <c r="H6" s="27" t="s">
        <v>1276</v>
      </c>
      <c r="I6" s="31">
        <v>10</v>
      </c>
      <c r="J6" s="31">
        <v>1</v>
      </c>
      <c r="K6" s="31"/>
      <c r="L6" s="31"/>
      <c r="M6" s="31"/>
      <c r="N6" s="31"/>
      <c r="O6" s="31"/>
      <c r="P6" s="31">
        <f t="shared" si="0"/>
        <v>20</v>
      </c>
      <c r="Q6" s="31"/>
      <c r="R6" s="31"/>
      <c r="S6" s="31"/>
      <c r="T6" s="31"/>
      <c r="U6" s="32"/>
      <c r="V6" s="26"/>
      <c r="W6" s="31">
        <f>+I6*J6</f>
        <v>10</v>
      </c>
      <c r="X6" s="32"/>
      <c r="Y6" s="26"/>
    </row>
    <row r="7" spans="1:25" x14ac:dyDescent="0.35">
      <c r="A7" s="26">
        <v>56</v>
      </c>
      <c r="B7" s="26" t="s">
        <v>1264</v>
      </c>
      <c r="C7" s="26" t="s">
        <v>1273</v>
      </c>
      <c r="D7" s="26" t="s">
        <v>1231</v>
      </c>
      <c r="E7" s="26">
        <v>2</v>
      </c>
      <c r="F7" s="26"/>
      <c r="G7" s="26">
        <v>2</v>
      </c>
      <c r="H7" s="27" t="s">
        <v>1346</v>
      </c>
      <c r="I7" s="31">
        <v>5</v>
      </c>
      <c r="J7" s="31">
        <v>1</v>
      </c>
      <c r="K7" s="31"/>
      <c r="L7" s="31"/>
      <c r="M7" s="31"/>
      <c r="N7" s="31"/>
      <c r="O7" s="31"/>
      <c r="P7" s="31">
        <f t="shared" si="0"/>
        <v>20</v>
      </c>
      <c r="Q7" s="31"/>
      <c r="R7" s="31"/>
      <c r="S7" s="31"/>
      <c r="T7" s="31"/>
      <c r="U7" s="32"/>
      <c r="V7" s="31"/>
      <c r="W7" s="26"/>
      <c r="X7" s="31">
        <f>+I7*J7</f>
        <v>5</v>
      </c>
      <c r="Y7" s="26"/>
    </row>
    <row r="8" spans="1:25" x14ac:dyDescent="0.35">
      <c r="A8" s="26">
        <v>56</v>
      </c>
      <c r="B8" s="26" t="s">
        <v>1264</v>
      </c>
      <c r="C8" s="26" t="s">
        <v>1273</v>
      </c>
      <c r="D8" s="26" t="s">
        <v>1232</v>
      </c>
      <c r="E8" s="26">
        <v>2</v>
      </c>
      <c r="F8" s="26"/>
      <c r="G8" s="26">
        <v>2</v>
      </c>
      <c r="H8" s="27" t="s">
        <v>1346</v>
      </c>
      <c r="I8" s="31">
        <v>5</v>
      </c>
      <c r="J8" s="31">
        <v>1</v>
      </c>
      <c r="K8" s="31"/>
      <c r="L8" s="31"/>
      <c r="M8" s="31"/>
      <c r="N8" s="31"/>
      <c r="O8" s="31"/>
      <c r="P8" s="31">
        <f t="shared" si="0"/>
        <v>20</v>
      </c>
      <c r="Q8" s="31"/>
      <c r="R8" s="31"/>
      <c r="S8" s="31"/>
      <c r="T8" s="31"/>
      <c r="U8" s="32"/>
      <c r="V8" s="26"/>
      <c r="W8" s="26"/>
      <c r="X8" s="32"/>
      <c r="Y8" s="31">
        <f>+I8*J8</f>
        <v>5</v>
      </c>
    </row>
    <row r="9" spans="1:25" x14ac:dyDescent="0.35">
      <c r="A9" s="26">
        <v>56</v>
      </c>
      <c r="B9" s="26" t="s">
        <v>1266</v>
      </c>
      <c r="C9" s="26" t="s">
        <v>1274</v>
      </c>
      <c r="D9" s="26" t="s">
        <v>1231</v>
      </c>
      <c r="E9" s="26">
        <v>2</v>
      </c>
      <c r="F9" s="26"/>
      <c r="G9" s="26">
        <v>2</v>
      </c>
      <c r="H9" s="27" t="s">
        <v>1346</v>
      </c>
      <c r="I9" s="31">
        <v>5</v>
      </c>
      <c r="J9" s="31">
        <v>1</v>
      </c>
      <c r="K9" s="31"/>
      <c r="L9" s="31"/>
      <c r="M9" s="31"/>
      <c r="N9" s="31"/>
      <c r="O9" s="31"/>
      <c r="P9" s="31">
        <f t="shared" si="0"/>
        <v>20</v>
      </c>
      <c r="Q9" s="31"/>
      <c r="R9" s="31"/>
      <c r="S9" s="31"/>
      <c r="T9" s="31"/>
      <c r="U9" s="32"/>
      <c r="V9" s="31"/>
      <c r="W9" s="26"/>
      <c r="X9" s="31">
        <f>+I9*J9</f>
        <v>5</v>
      </c>
      <c r="Y9" s="26"/>
    </row>
    <row r="10" spans="1:25" x14ac:dyDescent="0.35">
      <c r="A10" s="26">
        <v>56</v>
      </c>
      <c r="B10" s="26" t="s">
        <v>1266</v>
      </c>
      <c r="C10" s="26" t="s">
        <v>1274</v>
      </c>
      <c r="D10" s="26" t="s">
        <v>1232</v>
      </c>
      <c r="E10" s="26">
        <v>2</v>
      </c>
      <c r="F10" s="26"/>
      <c r="G10" s="26">
        <v>2</v>
      </c>
      <c r="H10" s="27" t="s">
        <v>1346</v>
      </c>
      <c r="I10" s="31">
        <v>5</v>
      </c>
      <c r="J10" s="31">
        <v>1</v>
      </c>
      <c r="K10" s="31"/>
      <c r="L10" s="31"/>
      <c r="M10" s="31"/>
      <c r="N10" s="31"/>
      <c r="O10" s="31"/>
      <c r="P10" s="31">
        <f t="shared" si="0"/>
        <v>20</v>
      </c>
      <c r="Q10" s="31"/>
      <c r="R10" s="31"/>
      <c r="S10" s="31"/>
      <c r="T10" s="31"/>
      <c r="U10" s="32"/>
      <c r="V10" s="26"/>
      <c r="W10" s="26"/>
      <c r="X10" s="32"/>
      <c r="Y10" s="31">
        <f>+I10*J10</f>
        <v>5</v>
      </c>
    </row>
    <row r="11" spans="1:25" x14ac:dyDescent="0.35">
      <c r="A11" s="26">
        <v>56</v>
      </c>
      <c r="B11" s="26" t="s">
        <v>1314</v>
      </c>
      <c r="C11" s="26" t="s">
        <v>1275</v>
      </c>
      <c r="D11" s="26" t="s">
        <v>1231</v>
      </c>
      <c r="E11" s="26">
        <v>2</v>
      </c>
      <c r="F11" s="26"/>
      <c r="G11" s="26">
        <v>2</v>
      </c>
      <c r="H11" s="27" t="s">
        <v>1346</v>
      </c>
      <c r="I11" s="31">
        <v>5</v>
      </c>
      <c r="J11" s="31">
        <v>1</v>
      </c>
      <c r="K11" s="31"/>
      <c r="L11" s="31"/>
      <c r="M11" s="31"/>
      <c r="N11" s="31"/>
      <c r="O11" s="31"/>
      <c r="P11" s="31">
        <f t="shared" si="0"/>
        <v>20</v>
      </c>
      <c r="Q11" s="31"/>
      <c r="R11" s="31"/>
      <c r="S11" s="31"/>
      <c r="T11" s="31"/>
      <c r="U11" s="32"/>
      <c r="V11" s="31"/>
      <c r="W11" s="26"/>
      <c r="X11" s="31">
        <f>+I11*J11</f>
        <v>5</v>
      </c>
      <c r="Y11" s="26"/>
    </row>
    <row r="12" spans="1:25" x14ac:dyDescent="0.35">
      <c r="A12" s="26">
        <v>56</v>
      </c>
      <c r="B12" s="26" t="s">
        <v>1314</v>
      </c>
      <c r="C12" s="26" t="s">
        <v>1275</v>
      </c>
      <c r="D12" s="26" t="s">
        <v>1232</v>
      </c>
      <c r="E12" s="26">
        <v>2</v>
      </c>
      <c r="F12" s="26"/>
      <c r="G12" s="26">
        <v>2</v>
      </c>
      <c r="H12" s="27" t="s">
        <v>1346</v>
      </c>
      <c r="I12" s="31">
        <v>5</v>
      </c>
      <c r="J12" s="31">
        <v>1</v>
      </c>
      <c r="K12" s="31"/>
      <c r="L12" s="31"/>
      <c r="M12" s="31"/>
      <c r="N12" s="31"/>
      <c r="O12" s="31"/>
      <c r="P12" s="31">
        <f t="shared" si="0"/>
        <v>20</v>
      </c>
      <c r="Q12" s="31"/>
      <c r="R12" s="31"/>
      <c r="S12" s="31"/>
      <c r="T12" s="31"/>
      <c r="U12" s="32"/>
      <c r="V12" s="26"/>
      <c r="W12" s="26"/>
      <c r="X12" s="32"/>
      <c r="Y12" s="31">
        <f>+I12*J12</f>
        <v>5</v>
      </c>
    </row>
    <row r="13" spans="1:25" x14ac:dyDescent="0.35">
      <c r="A13" s="26"/>
      <c r="B13" s="26"/>
      <c r="C13" s="26"/>
      <c r="D13" s="26"/>
      <c r="E13" s="26"/>
      <c r="F13" s="26"/>
      <c r="G13" s="26"/>
      <c r="H13" s="27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26"/>
      <c r="V13" s="32"/>
      <c r="W13" s="26"/>
      <c r="X13" s="26"/>
      <c r="Y13" s="26"/>
    </row>
    <row r="14" spans="1:25" s="23" customFormat="1" x14ac:dyDescent="0.35">
      <c r="A14" s="33"/>
      <c r="B14" s="33"/>
      <c r="C14" s="33"/>
      <c r="D14" s="28"/>
      <c r="E14" s="33"/>
      <c r="F14" s="33"/>
      <c r="G14" s="33"/>
      <c r="H14" s="33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5"/>
      <c r="W14" s="33"/>
      <c r="X14" s="33"/>
      <c r="Y14" s="33"/>
    </row>
    <row r="15" spans="1:25" s="21" customFormat="1" x14ac:dyDescent="0.35">
      <c r="A15" s="24"/>
      <c r="B15" s="24"/>
      <c r="C15" s="24"/>
      <c r="D15" s="24"/>
      <c r="E15" s="24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30">
        <f t="shared" ref="S15:Y15" si="1">SUM(S2:S14)</f>
        <v>20</v>
      </c>
      <c r="T15" s="30">
        <f t="shared" si="1"/>
        <v>20</v>
      </c>
      <c r="U15" s="30">
        <f t="shared" si="1"/>
        <v>5</v>
      </c>
      <c r="V15" s="30">
        <f t="shared" si="1"/>
        <v>5</v>
      </c>
      <c r="W15" s="30">
        <f t="shared" si="1"/>
        <v>10</v>
      </c>
      <c r="X15" s="30">
        <f t="shared" si="1"/>
        <v>15</v>
      </c>
      <c r="Y15" s="30">
        <f t="shared" si="1"/>
        <v>15</v>
      </c>
    </row>
    <row r="16" spans="1:25" s="21" customFormat="1" x14ac:dyDescent="0.35">
      <c r="A16" s="24"/>
      <c r="B16" s="24"/>
      <c r="C16" s="24"/>
      <c r="D16" s="24"/>
      <c r="E16" s="24"/>
      <c r="F16" s="24"/>
      <c r="G16" s="24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 t="s">
        <v>177</v>
      </c>
      <c r="T16" s="25" t="s">
        <v>177</v>
      </c>
      <c r="U16" s="25" t="s">
        <v>177</v>
      </c>
      <c r="V16" s="25" t="s">
        <v>177</v>
      </c>
      <c r="W16" s="25" t="s">
        <v>177</v>
      </c>
      <c r="X16" s="25" t="s">
        <v>177</v>
      </c>
      <c r="Y16" s="25" t="s">
        <v>177</v>
      </c>
    </row>
    <row r="17" spans="4:22" x14ac:dyDescent="0.35">
      <c r="V17" s="37"/>
    </row>
    <row r="18" spans="4:22" x14ac:dyDescent="0.35">
      <c r="V18" s="37"/>
    </row>
    <row r="19" spans="4:22" x14ac:dyDescent="0.35">
      <c r="V19" s="37"/>
    </row>
    <row r="20" spans="4:22" x14ac:dyDescent="0.35">
      <c r="V20" s="37"/>
    </row>
    <row r="21" spans="4:22" x14ac:dyDescent="0.35">
      <c r="V21" s="37"/>
    </row>
    <row r="22" spans="4:22" s="22" customFormat="1" x14ac:dyDescent="0.35">
      <c r="D22" s="20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V22" s="37"/>
    </row>
    <row r="23" spans="4:22" s="22" customFormat="1" x14ac:dyDescent="0.35">
      <c r="D23" s="20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V23" s="37"/>
    </row>
  </sheetData>
  <pageMargins left="0.7" right="0.7" top="0.75" bottom="0.75" header="0.3" footer="0.3"/>
  <pageSetup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6"/>
  <sheetViews>
    <sheetView view="pageBreakPreview" zoomScaleNormal="85" zoomScaleSheetLayoutView="100" workbookViewId="0">
      <pane ySplit="3" topLeftCell="A78" activePane="bottomLeft" state="frozen"/>
      <selection pane="bottomLeft" activeCell="I79" sqref="I79"/>
    </sheetView>
  </sheetViews>
  <sheetFormatPr defaultRowHeight="14.5" x14ac:dyDescent="0.35"/>
  <cols>
    <col min="1" max="1" width="5.26953125" style="22" bestFit="1" customWidth="1"/>
    <col min="2" max="2" width="6.36328125" style="2" bestFit="1" customWidth="1"/>
    <col min="3" max="3" width="10.453125" style="22" bestFit="1" customWidth="1"/>
    <col min="4" max="4" width="8.453125" style="22" bestFit="1" customWidth="1"/>
    <col min="5" max="5" width="12.08984375" style="22" bestFit="1" customWidth="1"/>
    <col min="6" max="6" width="9.6328125" style="22" bestFit="1" customWidth="1"/>
    <col min="7" max="8" width="7.6328125" style="22" bestFit="1" customWidth="1"/>
    <col min="9" max="9" width="31.36328125" style="1" bestFit="1" customWidth="1"/>
    <col min="10" max="10" width="10.7265625" style="45" bestFit="1" customWidth="1"/>
    <col min="11" max="11" width="4.6328125" style="2" bestFit="1" customWidth="1"/>
    <col min="12" max="12" width="9.08984375" style="45" bestFit="1" customWidth="1"/>
    <col min="13" max="13" width="8.81640625" style="45" bestFit="1" customWidth="1"/>
    <col min="14" max="14" width="11" style="45" bestFit="1" customWidth="1"/>
    <col min="15" max="15" width="11.08984375" style="45" bestFit="1" customWidth="1"/>
    <col min="16" max="16" width="13.81640625" style="45" bestFit="1" customWidth="1"/>
    <col min="17" max="17" width="10.08984375" style="45" bestFit="1" customWidth="1"/>
    <col min="18" max="18" width="15.6328125" style="45" bestFit="1" customWidth="1"/>
    <col min="19" max="19" width="11.08984375" style="46" bestFit="1" customWidth="1"/>
    <col min="20" max="20" width="14.81640625" style="46" bestFit="1" customWidth="1"/>
    <col min="21" max="16384" width="8.7265625" style="1"/>
  </cols>
  <sheetData>
    <row r="1" spans="1:20" x14ac:dyDescent="0.35">
      <c r="A1" s="60" t="s">
        <v>1134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1"/>
    </row>
    <row r="2" spans="1:20" x14ac:dyDescent="0.35">
      <c r="A2" s="58" t="s">
        <v>1347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9"/>
    </row>
    <row r="3" spans="1:20" s="6" customFormat="1" ht="29" x14ac:dyDescent="0.35">
      <c r="A3" s="24" t="s">
        <v>1348</v>
      </c>
      <c r="B3" s="5" t="s">
        <v>110</v>
      </c>
      <c r="C3" s="24" t="s">
        <v>1425</v>
      </c>
      <c r="D3" s="24" t="s">
        <v>1426</v>
      </c>
      <c r="E3" s="24" t="s">
        <v>1449</v>
      </c>
      <c r="F3" s="24" t="s">
        <v>1442</v>
      </c>
      <c r="G3" s="24" t="s">
        <v>1443</v>
      </c>
      <c r="H3" s="24" t="s">
        <v>1444</v>
      </c>
      <c r="I3" s="5" t="s">
        <v>1121</v>
      </c>
      <c r="J3" s="16" t="s">
        <v>1423</v>
      </c>
      <c r="K3" s="5" t="s">
        <v>1</v>
      </c>
      <c r="L3" s="16" t="s">
        <v>1418</v>
      </c>
      <c r="M3" s="16" t="s">
        <v>1424</v>
      </c>
      <c r="N3" s="16" t="s">
        <v>1422</v>
      </c>
      <c r="O3" s="16" t="s">
        <v>73</v>
      </c>
      <c r="P3" s="16" t="s">
        <v>1419</v>
      </c>
      <c r="Q3" s="16" t="s">
        <v>1420</v>
      </c>
      <c r="R3" s="16" t="s">
        <v>1421</v>
      </c>
      <c r="S3" s="16" t="s">
        <v>75</v>
      </c>
      <c r="T3" s="16" t="s">
        <v>1122</v>
      </c>
    </row>
    <row r="4" spans="1:20" s="6" customFormat="1" x14ac:dyDescent="0.35">
      <c r="A4" s="24"/>
      <c r="B4" s="5"/>
      <c r="C4" s="24"/>
      <c r="D4" s="24"/>
      <c r="E4" s="24"/>
      <c r="F4" s="24"/>
      <c r="G4" s="24"/>
      <c r="H4" s="24"/>
      <c r="I4" s="71" t="s">
        <v>1583</v>
      </c>
      <c r="J4" s="16"/>
      <c r="K4" s="5"/>
      <c r="L4" s="16"/>
      <c r="M4" s="16"/>
      <c r="N4" s="16"/>
      <c r="O4" s="16"/>
      <c r="P4" s="16"/>
      <c r="Q4" s="73">
        <v>0.1</v>
      </c>
      <c r="R4" s="16"/>
      <c r="S4" s="16"/>
      <c r="T4" s="16"/>
    </row>
    <row r="5" spans="1:20" s="6" customFormat="1" x14ac:dyDescent="0.35">
      <c r="A5" s="24"/>
      <c r="B5" s="5"/>
      <c r="C5" s="24"/>
      <c r="D5" s="24"/>
      <c r="E5" s="24"/>
      <c r="F5" s="24"/>
      <c r="G5" s="24"/>
      <c r="H5" s="24"/>
      <c r="I5" s="71" t="s">
        <v>1584</v>
      </c>
      <c r="J5" s="16"/>
      <c r="K5" s="5"/>
      <c r="L5" s="16"/>
      <c r="M5" s="16"/>
      <c r="N5" s="16"/>
      <c r="O5" s="16"/>
      <c r="P5" s="16"/>
      <c r="Q5" s="73">
        <v>0.3</v>
      </c>
      <c r="R5" s="16"/>
      <c r="S5" s="16"/>
      <c r="T5" s="16"/>
    </row>
    <row r="6" spans="1:20" s="6" customFormat="1" x14ac:dyDescent="0.35">
      <c r="A6" s="24"/>
      <c r="B6" s="5"/>
      <c r="C6" s="24"/>
      <c r="D6" s="24"/>
      <c r="E6" s="24"/>
      <c r="F6" s="24"/>
      <c r="G6" s="24"/>
      <c r="H6" s="24"/>
      <c r="I6" s="71" t="s">
        <v>1585</v>
      </c>
      <c r="J6" s="16"/>
      <c r="K6" s="5"/>
      <c r="L6" s="16"/>
      <c r="M6" s="16"/>
      <c r="N6" s="16"/>
      <c r="O6" s="16"/>
      <c r="P6" s="16"/>
      <c r="Q6" s="74">
        <v>2.5000000000000001E-2</v>
      </c>
      <c r="R6" s="16"/>
      <c r="S6" s="16"/>
      <c r="T6" s="16"/>
    </row>
    <row r="7" spans="1:20" s="6" customFormat="1" x14ac:dyDescent="0.35">
      <c r="A7" s="24"/>
      <c r="B7" s="5"/>
      <c r="C7" s="24"/>
      <c r="D7" s="24"/>
      <c r="E7" s="24"/>
      <c r="F7" s="24"/>
      <c r="G7" s="24"/>
      <c r="H7" s="24"/>
      <c r="I7" s="71" t="s">
        <v>1586</v>
      </c>
      <c r="J7" s="16"/>
      <c r="K7" s="5"/>
      <c r="L7" s="16"/>
      <c r="M7" s="16"/>
      <c r="N7" s="16"/>
      <c r="O7" s="16"/>
      <c r="P7" s="16"/>
      <c r="Q7" s="73">
        <v>0.05</v>
      </c>
      <c r="R7" s="16"/>
      <c r="S7" s="16"/>
      <c r="T7" s="16"/>
    </row>
    <row r="8" spans="1:20" s="6" customFormat="1" x14ac:dyDescent="0.35">
      <c r="A8" s="24"/>
      <c r="B8" s="5"/>
      <c r="C8" s="24"/>
      <c r="D8" s="24"/>
      <c r="E8" s="24"/>
      <c r="F8" s="24"/>
      <c r="G8" s="24"/>
      <c r="H8" s="24"/>
      <c r="I8" s="5" t="s">
        <v>1582</v>
      </c>
      <c r="J8" s="16"/>
      <c r="K8" s="5"/>
      <c r="L8" s="16"/>
      <c r="M8" s="16"/>
      <c r="N8" s="16"/>
      <c r="O8" s="16"/>
      <c r="P8" s="16"/>
      <c r="Q8" s="72">
        <f>SUM(Q4:Q7)</f>
        <v>0.47500000000000003</v>
      </c>
      <c r="R8" s="16"/>
      <c r="S8" s="16"/>
      <c r="T8" s="16"/>
    </row>
    <row r="9" spans="1:20" s="6" customFormat="1" x14ac:dyDescent="0.35">
      <c r="A9" s="24"/>
      <c r="B9" s="5"/>
      <c r="C9" s="24"/>
      <c r="D9" s="24"/>
      <c r="E9" s="24"/>
      <c r="F9" s="24"/>
      <c r="G9" s="24"/>
      <c r="H9" s="24"/>
      <c r="I9" s="5"/>
      <c r="J9" s="16"/>
      <c r="K9" s="5"/>
      <c r="L9" s="16"/>
      <c r="M9" s="16"/>
      <c r="N9" s="16"/>
      <c r="O9" s="16"/>
      <c r="P9" s="16"/>
      <c r="Q9" s="16"/>
      <c r="R9" s="16"/>
      <c r="S9" s="16"/>
      <c r="T9" s="16"/>
    </row>
    <row r="10" spans="1:20" s="6" customFormat="1" x14ac:dyDescent="0.35">
      <c r="A10" s="24"/>
      <c r="B10" s="5"/>
      <c r="C10" s="24"/>
      <c r="D10" s="24"/>
      <c r="E10" s="24"/>
      <c r="F10" s="24"/>
      <c r="G10" s="24"/>
      <c r="H10" s="24"/>
      <c r="I10" s="5"/>
      <c r="J10" s="16"/>
      <c r="K10" s="5"/>
      <c r="L10" s="16"/>
      <c r="M10" s="16"/>
      <c r="N10" s="16"/>
      <c r="O10" s="16"/>
      <c r="P10" s="16"/>
      <c r="Q10" s="16"/>
      <c r="R10" s="16"/>
      <c r="S10" s="16"/>
      <c r="T10" s="16"/>
    </row>
    <row r="11" spans="1:20" x14ac:dyDescent="0.35">
      <c r="A11" s="24">
        <v>1</v>
      </c>
      <c r="B11" s="5">
        <v>1</v>
      </c>
      <c r="C11" s="24"/>
      <c r="D11" s="24"/>
      <c r="E11" s="24"/>
      <c r="F11" s="24"/>
      <c r="G11" s="24"/>
      <c r="H11" s="24"/>
      <c r="I11" s="7" t="s">
        <v>1124</v>
      </c>
      <c r="J11" s="16"/>
      <c r="K11" s="5"/>
      <c r="L11" s="16"/>
      <c r="M11" s="16"/>
      <c r="N11" s="16"/>
      <c r="O11" s="16"/>
      <c r="P11" s="16"/>
      <c r="Q11" s="16"/>
      <c r="R11" s="16"/>
      <c r="S11" s="40"/>
      <c r="T11" s="40"/>
    </row>
    <row r="12" spans="1:20" ht="29" x14ac:dyDescent="0.35">
      <c r="A12" s="26" t="s">
        <v>1349</v>
      </c>
      <c r="B12" s="3" t="s">
        <v>1135</v>
      </c>
      <c r="C12" s="26" t="s">
        <v>1124</v>
      </c>
      <c r="D12" s="26" t="s">
        <v>1427</v>
      </c>
      <c r="E12" s="26"/>
      <c r="F12" s="26"/>
      <c r="G12" s="26"/>
      <c r="H12" s="26"/>
      <c r="I12" s="41" t="s">
        <v>1125</v>
      </c>
      <c r="J12" s="42">
        <v>1</v>
      </c>
      <c r="K12" s="3" t="s">
        <v>1147</v>
      </c>
      <c r="L12" s="42">
        <v>1</v>
      </c>
      <c r="M12" s="42">
        <f>L12-J12</f>
        <v>0</v>
      </c>
      <c r="N12" s="42">
        <f>L12</f>
        <v>1</v>
      </c>
      <c r="O12" s="42">
        <f>VLOOKUP(A12,'Rate Analysis'!A:R,16,0)</f>
        <v>100000</v>
      </c>
      <c r="P12" s="42">
        <f>+O12*N12</f>
        <v>100000</v>
      </c>
      <c r="Q12" s="42">
        <f>O12*$Q$8</f>
        <v>47500</v>
      </c>
      <c r="R12" s="42">
        <f>+Q12*N12</f>
        <v>47500</v>
      </c>
      <c r="S12" s="43">
        <f>O12+Q12</f>
        <v>147500</v>
      </c>
      <c r="T12" s="43">
        <f>+S12*N12</f>
        <v>147500</v>
      </c>
    </row>
    <row r="13" spans="1:20" ht="29" x14ac:dyDescent="0.35">
      <c r="A13" s="26" t="s">
        <v>1350</v>
      </c>
      <c r="B13" s="3" t="s">
        <v>1140</v>
      </c>
      <c r="C13" s="26" t="s">
        <v>1124</v>
      </c>
      <c r="D13" s="26" t="s">
        <v>1427</v>
      </c>
      <c r="E13" s="26"/>
      <c r="F13" s="26"/>
      <c r="G13" s="26"/>
      <c r="H13" s="26"/>
      <c r="I13" s="41" t="s">
        <v>1126</v>
      </c>
      <c r="J13" s="42">
        <v>1</v>
      </c>
      <c r="K13" s="3" t="s">
        <v>1147</v>
      </c>
      <c r="L13" s="42">
        <v>1</v>
      </c>
      <c r="M13" s="42">
        <f t="shared" ref="M13:M20" si="0">L13-J13</f>
        <v>0</v>
      </c>
      <c r="N13" s="42">
        <f t="shared" ref="N13:N20" si="1">L13</f>
        <v>1</v>
      </c>
      <c r="O13" s="42">
        <f>VLOOKUP(A13,'Rate Analysis'!A:R,16,0)</f>
        <v>100000</v>
      </c>
      <c r="P13" s="42">
        <f t="shared" ref="P13:P20" si="2">+O13*N13</f>
        <v>100000</v>
      </c>
      <c r="Q13" s="42">
        <f t="shared" ref="Q13:Q20" si="3">O13*$Q$8</f>
        <v>47500</v>
      </c>
      <c r="R13" s="42">
        <f t="shared" ref="R13:R20" si="4">+Q13*N13</f>
        <v>47500</v>
      </c>
      <c r="S13" s="43">
        <f t="shared" ref="S13:S20" si="5">O13+Q13</f>
        <v>147500</v>
      </c>
      <c r="T13" s="43">
        <f t="shared" ref="T13:T20" si="6">+S13*N13</f>
        <v>147500</v>
      </c>
    </row>
    <row r="14" spans="1:20" ht="29" x14ac:dyDescent="0.35">
      <c r="A14" s="26" t="s">
        <v>1351</v>
      </c>
      <c r="B14" s="3" t="s">
        <v>1141</v>
      </c>
      <c r="C14" s="26" t="s">
        <v>1124</v>
      </c>
      <c r="D14" s="26" t="s">
        <v>1427</v>
      </c>
      <c r="E14" s="26"/>
      <c r="F14" s="26"/>
      <c r="G14" s="26"/>
      <c r="H14" s="26"/>
      <c r="I14" s="41" t="s">
        <v>1127</v>
      </c>
      <c r="J14" s="42">
        <v>1</v>
      </c>
      <c r="K14" s="3" t="s">
        <v>1147</v>
      </c>
      <c r="L14" s="42">
        <v>1</v>
      </c>
      <c r="M14" s="42">
        <f t="shared" si="0"/>
        <v>0</v>
      </c>
      <c r="N14" s="42">
        <f t="shared" si="1"/>
        <v>1</v>
      </c>
      <c r="O14" s="42">
        <f>VLOOKUP(A14,'Rate Analysis'!A:R,16,0)</f>
        <v>100000</v>
      </c>
      <c r="P14" s="42">
        <f t="shared" si="2"/>
        <v>100000</v>
      </c>
      <c r="Q14" s="42">
        <f t="shared" si="3"/>
        <v>47500</v>
      </c>
      <c r="R14" s="42">
        <f t="shared" si="4"/>
        <v>47500</v>
      </c>
      <c r="S14" s="43">
        <f t="shared" si="5"/>
        <v>147500</v>
      </c>
      <c r="T14" s="43">
        <f t="shared" si="6"/>
        <v>147500</v>
      </c>
    </row>
    <row r="15" spans="1:20" ht="29" x14ac:dyDescent="0.35">
      <c r="A15" s="26" t="s">
        <v>1352</v>
      </c>
      <c r="B15" s="3" t="s">
        <v>1142</v>
      </c>
      <c r="C15" s="26" t="s">
        <v>1124</v>
      </c>
      <c r="D15" s="26" t="s">
        <v>1427</v>
      </c>
      <c r="E15" s="26"/>
      <c r="F15" s="26"/>
      <c r="G15" s="26"/>
      <c r="H15" s="26"/>
      <c r="I15" s="41" t="s">
        <v>1128</v>
      </c>
      <c r="J15" s="42">
        <v>1</v>
      </c>
      <c r="K15" s="3" t="s">
        <v>1147</v>
      </c>
      <c r="L15" s="42">
        <v>1</v>
      </c>
      <c r="M15" s="42">
        <f t="shared" si="0"/>
        <v>0</v>
      </c>
      <c r="N15" s="42">
        <f t="shared" si="1"/>
        <v>1</v>
      </c>
      <c r="O15" s="42">
        <f>VLOOKUP(A15,'Rate Analysis'!A:R,16,0)</f>
        <v>100000</v>
      </c>
      <c r="P15" s="42">
        <f t="shared" si="2"/>
        <v>100000</v>
      </c>
      <c r="Q15" s="42">
        <f t="shared" si="3"/>
        <v>47500</v>
      </c>
      <c r="R15" s="42">
        <f t="shared" si="4"/>
        <v>47500</v>
      </c>
      <c r="S15" s="43">
        <f t="shared" si="5"/>
        <v>147500</v>
      </c>
      <c r="T15" s="43">
        <f t="shared" si="6"/>
        <v>147500</v>
      </c>
    </row>
    <row r="16" spans="1:20" ht="29" x14ac:dyDescent="0.35">
      <c r="A16" s="26" t="s">
        <v>1353</v>
      </c>
      <c r="B16" s="3" t="s">
        <v>1139</v>
      </c>
      <c r="C16" s="26" t="s">
        <v>1124</v>
      </c>
      <c r="D16" s="26" t="s">
        <v>1427</v>
      </c>
      <c r="E16" s="26"/>
      <c r="F16" s="26"/>
      <c r="G16" s="26"/>
      <c r="H16" s="26"/>
      <c r="I16" s="41" t="s">
        <v>1129</v>
      </c>
      <c r="J16" s="42">
        <v>1</v>
      </c>
      <c r="K16" s="3" t="s">
        <v>1147</v>
      </c>
      <c r="L16" s="42">
        <v>1</v>
      </c>
      <c r="M16" s="42">
        <f t="shared" si="0"/>
        <v>0</v>
      </c>
      <c r="N16" s="42">
        <f t="shared" si="1"/>
        <v>1</v>
      </c>
      <c r="O16" s="42">
        <f>VLOOKUP(A16,'Rate Analysis'!A:R,16,0)</f>
        <v>100000</v>
      </c>
      <c r="P16" s="42">
        <f t="shared" si="2"/>
        <v>100000</v>
      </c>
      <c r="Q16" s="42">
        <f t="shared" si="3"/>
        <v>47500</v>
      </c>
      <c r="R16" s="42">
        <f t="shared" si="4"/>
        <v>47500</v>
      </c>
      <c r="S16" s="43">
        <f t="shared" si="5"/>
        <v>147500</v>
      </c>
      <c r="T16" s="43">
        <f t="shared" si="6"/>
        <v>147500</v>
      </c>
    </row>
    <row r="17" spans="1:20" ht="29" x14ac:dyDescent="0.35">
      <c r="A17" s="26" t="s">
        <v>1354</v>
      </c>
      <c r="B17" s="3" t="s">
        <v>1143</v>
      </c>
      <c r="C17" s="26" t="s">
        <v>1124</v>
      </c>
      <c r="D17" s="26" t="s">
        <v>1427</v>
      </c>
      <c r="E17" s="26"/>
      <c r="F17" s="26"/>
      <c r="G17" s="26"/>
      <c r="H17" s="26"/>
      <c r="I17" s="41" t="s">
        <v>1130</v>
      </c>
      <c r="J17" s="42">
        <v>1</v>
      </c>
      <c r="K17" s="3" t="s">
        <v>1147</v>
      </c>
      <c r="L17" s="42">
        <v>1</v>
      </c>
      <c r="M17" s="42">
        <f t="shared" si="0"/>
        <v>0</v>
      </c>
      <c r="N17" s="42">
        <f t="shared" si="1"/>
        <v>1</v>
      </c>
      <c r="O17" s="42">
        <f>VLOOKUP(A17,'Rate Analysis'!A:R,16,0)</f>
        <v>100000</v>
      </c>
      <c r="P17" s="42">
        <f t="shared" si="2"/>
        <v>100000</v>
      </c>
      <c r="Q17" s="42">
        <f t="shared" si="3"/>
        <v>47500</v>
      </c>
      <c r="R17" s="42">
        <f t="shared" si="4"/>
        <v>47500</v>
      </c>
      <c r="S17" s="43">
        <f t="shared" si="5"/>
        <v>147500</v>
      </c>
      <c r="T17" s="43">
        <f t="shared" si="6"/>
        <v>147500</v>
      </c>
    </row>
    <row r="18" spans="1:20" ht="29" x14ac:dyDescent="0.35">
      <c r="A18" s="26" t="s">
        <v>1355</v>
      </c>
      <c r="B18" s="3" t="s">
        <v>1144</v>
      </c>
      <c r="C18" s="26" t="s">
        <v>1124</v>
      </c>
      <c r="D18" s="26" t="s">
        <v>1428</v>
      </c>
      <c r="E18" s="26"/>
      <c r="F18" s="26"/>
      <c r="G18" s="26"/>
      <c r="H18" s="26"/>
      <c r="I18" s="41" t="s">
        <v>1131</v>
      </c>
      <c r="J18" s="42">
        <v>1</v>
      </c>
      <c r="K18" s="3" t="s">
        <v>1147</v>
      </c>
      <c r="L18" s="42">
        <v>1</v>
      </c>
      <c r="M18" s="42">
        <f t="shared" si="0"/>
        <v>0</v>
      </c>
      <c r="N18" s="42">
        <f t="shared" si="1"/>
        <v>1</v>
      </c>
      <c r="O18" s="42">
        <f>VLOOKUP(A18,'Rate Analysis'!A:R,16,0)</f>
        <v>100000</v>
      </c>
      <c r="P18" s="42">
        <f t="shared" si="2"/>
        <v>100000</v>
      </c>
      <c r="Q18" s="42">
        <f t="shared" si="3"/>
        <v>47500</v>
      </c>
      <c r="R18" s="42">
        <f t="shared" si="4"/>
        <v>47500</v>
      </c>
      <c r="S18" s="43">
        <f t="shared" si="5"/>
        <v>147500</v>
      </c>
      <c r="T18" s="43">
        <f t="shared" si="6"/>
        <v>147500</v>
      </c>
    </row>
    <row r="19" spans="1:20" ht="29" x14ac:dyDescent="0.35">
      <c r="A19" s="26" t="s">
        <v>1356</v>
      </c>
      <c r="B19" s="3" t="s">
        <v>1145</v>
      </c>
      <c r="C19" s="26" t="s">
        <v>1124</v>
      </c>
      <c r="D19" s="26" t="s">
        <v>1427</v>
      </c>
      <c r="E19" s="26"/>
      <c r="F19" s="26"/>
      <c r="G19" s="26"/>
      <c r="H19" s="26"/>
      <c r="I19" s="41" t="s">
        <v>1132</v>
      </c>
      <c r="J19" s="42">
        <v>1</v>
      </c>
      <c r="K19" s="3" t="s">
        <v>1147</v>
      </c>
      <c r="L19" s="42">
        <v>1</v>
      </c>
      <c r="M19" s="42">
        <f t="shared" si="0"/>
        <v>0</v>
      </c>
      <c r="N19" s="42">
        <f t="shared" si="1"/>
        <v>1</v>
      </c>
      <c r="O19" s="42">
        <f>VLOOKUP(A19,'Rate Analysis'!A:R,16,0)</f>
        <v>100000</v>
      </c>
      <c r="P19" s="42">
        <f t="shared" si="2"/>
        <v>100000</v>
      </c>
      <c r="Q19" s="42">
        <f t="shared" si="3"/>
        <v>47500</v>
      </c>
      <c r="R19" s="42">
        <f t="shared" si="4"/>
        <v>47500</v>
      </c>
      <c r="S19" s="43">
        <f t="shared" si="5"/>
        <v>147500</v>
      </c>
      <c r="T19" s="43">
        <f t="shared" si="6"/>
        <v>147500</v>
      </c>
    </row>
    <row r="20" spans="1:20" ht="29" x14ac:dyDescent="0.35">
      <c r="A20" s="26" t="s">
        <v>1357</v>
      </c>
      <c r="B20" s="3" t="s">
        <v>1136</v>
      </c>
      <c r="C20" s="26" t="s">
        <v>1124</v>
      </c>
      <c r="D20" s="26" t="s">
        <v>1428</v>
      </c>
      <c r="E20" s="26"/>
      <c r="F20" s="26"/>
      <c r="G20" s="26"/>
      <c r="H20" s="26"/>
      <c r="I20" s="41" t="s">
        <v>1133</v>
      </c>
      <c r="J20" s="42">
        <v>1</v>
      </c>
      <c r="K20" s="3" t="s">
        <v>1147</v>
      </c>
      <c r="L20" s="42">
        <v>1</v>
      </c>
      <c r="M20" s="42">
        <f t="shared" si="0"/>
        <v>0</v>
      </c>
      <c r="N20" s="42">
        <f t="shared" si="1"/>
        <v>1</v>
      </c>
      <c r="O20" s="42">
        <f>VLOOKUP(A20,'Rate Analysis'!A:R,16,0)</f>
        <v>100000</v>
      </c>
      <c r="P20" s="42">
        <f t="shared" si="2"/>
        <v>100000</v>
      </c>
      <c r="Q20" s="42">
        <f t="shared" si="3"/>
        <v>47500</v>
      </c>
      <c r="R20" s="42">
        <f t="shared" si="4"/>
        <v>47500</v>
      </c>
      <c r="S20" s="43">
        <f t="shared" si="5"/>
        <v>147500</v>
      </c>
      <c r="T20" s="43">
        <f t="shared" si="6"/>
        <v>147500</v>
      </c>
    </row>
    <row r="21" spans="1:20" x14ac:dyDescent="0.35">
      <c r="A21" s="26"/>
      <c r="B21" s="3"/>
      <c r="C21" s="26"/>
      <c r="D21" s="26"/>
      <c r="E21" s="26"/>
      <c r="F21" s="26"/>
      <c r="G21" s="26"/>
      <c r="H21" s="26"/>
      <c r="I21" s="41"/>
      <c r="J21" s="42"/>
      <c r="K21" s="3"/>
      <c r="L21" s="42"/>
      <c r="M21" s="42"/>
      <c r="N21" s="42"/>
      <c r="O21" s="42"/>
      <c r="P21" s="42"/>
      <c r="Q21" s="42"/>
      <c r="R21" s="42"/>
      <c r="S21" s="43"/>
      <c r="T21" s="43"/>
    </row>
    <row r="22" spans="1:20" x14ac:dyDescent="0.35">
      <c r="A22" s="24">
        <v>2</v>
      </c>
      <c r="B22" s="5">
        <v>2</v>
      </c>
      <c r="C22" s="24"/>
      <c r="D22" s="24"/>
      <c r="E22" s="24"/>
      <c r="F22" s="24"/>
      <c r="G22" s="24"/>
      <c r="H22" s="24"/>
      <c r="I22" s="7" t="s">
        <v>1152</v>
      </c>
      <c r="J22" s="16"/>
      <c r="K22" s="5"/>
      <c r="L22" s="16"/>
      <c r="M22" s="16"/>
      <c r="N22" s="16"/>
      <c r="O22" s="16"/>
      <c r="P22" s="16"/>
      <c r="Q22" s="16"/>
      <c r="R22" s="16"/>
      <c r="S22" s="40"/>
      <c r="T22" s="40"/>
    </row>
    <row r="23" spans="1:20" x14ac:dyDescent="0.35">
      <c r="A23" s="26" t="s">
        <v>1358</v>
      </c>
      <c r="B23" s="3" t="s">
        <v>1135</v>
      </c>
      <c r="C23" s="26" t="s">
        <v>1152</v>
      </c>
      <c r="D23" s="26" t="s">
        <v>144</v>
      </c>
      <c r="E23" s="26"/>
      <c r="F23" s="26"/>
      <c r="G23" s="26"/>
      <c r="H23" s="26"/>
      <c r="I23" s="41" t="s">
        <v>1153</v>
      </c>
      <c r="J23" s="42">
        <v>1</v>
      </c>
      <c r="K23" s="3" t="s">
        <v>1147</v>
      </c>
      <c r="L23" s="42">
        <v>1</v>
      </c>
      <c r="M23" s="42">
        <f t="shared" ref="M23:M40" si="7">L23-J23</f>
        <v>0</v>
      </c>
      <c r="N23" s="42">
        <f t="shared" ref="N23:N40" si="8">L23</f>
        <v>1</v>
      </c>
      <c r="O23" s="42">
        <f>VLOOKUP(A23,'Rate Analysis'!A:R,16,0)</f>
        <v>1365</v>
      </c>
      <c r="P23" s="42">
        <f t="shared" ref="P23:P40" si="9">+O23*N23</f>
        <v>1365</v>
      </c>
      <c r="Q23" s="42">
        <f t="shared" ref="Q23:Q40" si="10">O23*$Q$8</f>
        <v>648.375</v>
      </c>
      <c r="R23" s="42">
        <f t="shared" ref="R23:R40" si="11">+Q23*N23</f>
        <v>648.375</v>
      </c>
      <c r="S23" s="43">
        <f t="shared" ref="S23:S40" si="12">O23+Q23</f>
        <v>2013.375</v>
      </c>
      <c r="T23" s="43">
        <f t="shared" ref="T23:T40" si="13">+S23*N23</f>
        <v>2013.375</v>
      </c>
    </row>
    <row r="24" spans="1:20" x14ac:dyDescent="0.35">
      <c r="A24" s="26" t="s">
        <v>1359</v>
      </c>
      <c r="B24" s="3" t="s">
        <v>1140</v>
      </c>
      <c r="C24" s="26" t="s">
        <v>1152</v>
      </c>
      <c r="D24" s="26" t="s">
        <v>235</v>
      </c>
      <c r="E24" s="26"/>
      <c r="F24" s="26"/>
      <c r="G24" s="26"/>
      <c r="H24" s="26"/>
      <c r="I24" s="41" t="s">
        <v>1154</v>
      </c>
      <c r="J24" s="42">
        <v>1</v>
      </c>
      <c r="K24" s="3" t="s">
        <v>1147</v>
      </c>
      <c r="L24" s="42">
        <v>1</v>
      </c>
      <c r="M24" s="42">
        <f t="shared" si="7"/>
        <v>0</v>
      </c>
      <c r="N24" s="42">
        <f t="shared" si="8"/>
        <v>1</v>
      </c>
      <c r="O24" s="42">
        <f>VLOOKUP(A24,'Rate Analysis'!A:R,16,0)</f>
        <v>1075</v>
      </c>
      <c r="P24" s="42">
        <f t="shared" si="9"/>
        <v>1075</v>
      </c>
      <c r="Q24" s="42">
        <f t="shared" si="10"/>
        <v>510.62500000000006</v>
      </c>
      <c r="R24" s="42">
        <f t="shared" si="11"/>
        <v>510.62500000000006</v>
      </c>
      <c r="S24" s="43">
        <f t="shared" si="12"/>
        <v>1585.625</v>
      </c>
      <c r="T24" s="43">
        <f t="shared" si="13"/>
        <v>1585.625</v>
      </c>
    </row>
    <row r="25" spans="1:20" x14ac:dyDescent="0.35">
      <c r="A25" s="26" t="s">
        <v>1360</v>
      </c>
      <c r="B25" s="3" t="s">
        <v>1141</v>
      </c>
      <c r="C25" s="26" t="s">
        <v>1152</v>
      </c>
      <c r="D25" s="26" t="s">
        <v>1092</v>
      </c>
      <c r="E25" s="26"/>
      <c r="F25" s="26"/>
      <c r="G25" s="26"/>
      <c r="H25" s="26"/>
      <c r="I25" s="41" t="s">
        <v>1155</v>
      </c>
      <c r="J25" s="42">
        <v>1</v>
      </c>
      <c r="K25" s="3" t="s">
        <v>1147</v>
      </c>
      <c r="L25" s="42">
        <v>1</v>
      </c>
      <c r="M25" s="42">
        <f t="shared" si="7"/>
        <v>0</v>
      </c>
      <c r="N25" s="42">
        <f t="shared" si="8"/>
        <v>1</v>
      </c>
      <c r="O25" s="42">
        <f>VLOOKUP(A25,'Rate Analysis'!A:R,16,0)</f>
        <v>1100</v>
      </c>
      <c r="P25" s="42">
        <f t="shared" si="9"/>
        <v>1100</v>
      </c>
      <c r="Q25" s="42">
        <f t="shared" si="10"/>
        <v>522.5</v>
      </c>
      <c r="R25" s="42">
        <f t="shared" si="11"/>
        <v>522.5</v>
      </c>
      <c r="S25" s="43">
        <f t="shared" si="12"/>
        <v>1622.5</v>
      </c>
      <c r="T25" s="43">
        <f t="shared" si="13"/>
        <v>1622.5</v>
      </c>
    </row>
    <row r="26" spans="1:20" x14ac:dyDescent="0.35">
      <c r="A26" s="26" t="s">
        <v>1361</v>
      </c>
      <c r="B26" s="3" t="s">
        <v>1142</v>
      </c>
      <c r="C26" s="26" t="s">
        <v>1152</v>
      </c>
      <c r="D26" s="26" t="s">
        <v>1092</v>
      </c>
      <c r="E26" s="26"/>
      <c r="F26" s="26"/>
      <c r="G26" s="26"/>
      <c r="H26" s="26"/>
      <c r="I26" s="41" t="s">
        <v>1156</v>
      </c>
      <c r="J26" s="42">
        <v>1</v>
      </c>
      <c r="K26" s="3" t="s">
        <v>1147</v>
      </c>
      <c r="L26" s="42">
        <v>1</v>
      </c>
      <c r="M26" s="42">
        <f t="shared" si="7"/>
        <v>0</v>
      </c>
      <c r="N26" s="42">
        <f t="shared" si="8"/>
        <v>1</v>
      </c>
      <c r="O26" s="42">
        <f>VLOOKUP(A26,'Rate Analysis'!A:R,16,0)</f>
        <v>1390</v>
      </c>
      <c r="P26" s="42">
        <f t="shared" si="9"/>
        <v>1390</v>
      </c>
      <c r="Q26" s="42">
        <f t="shared" si="10"/>
        <v>660.25</v>
      </c>
      <c r="R26" s="42">
        <f t="shared" si="11"/>
        <v>660.25</v>
      </c>
      <c r="S26" s="43">
        <f t="shared" si="12"/>
        <v>2050.25</v>
      </c>
      <c r="T26" s="43">
        <f t="shared" si="13"/>
        <v>2050.25</v>
      </c>
    </row>
    <row r="27" spans="1:20" x14ac:dyDescent="0.35">
      <c r="A27" s="26" t="s">
        <v>1362</v>
      </c>
      <c r="B27" s="3" t="s">
        <v>1139</v>
      </c>
      <c r="C27" s="26" t="s">
        <v>1152</v>
      </c>
      <c r="D27" s="26" t="s">
        <v>1092</v>
      </c>
      <c r="E27" s="26"/>
      <c r="F27" s="26"/>
      <c r="G27" s="26"/>
      <c r="H27" s="26"/>
      <c r="I27" s="41" t="s">
        <v>1157</v>
      </c>
      <c r="J27" s="42">
        <v>1</v>
      </c>
      <c r="K27" s="3" t="s">
        <v>1147</v>
      </c>
      <c r="L27" s="42">
        <v>1</v>
      </c>
      <c r="M27" s="42">
        <f t="shared" si="7"/>
        <v>0</v>
      </c>
      <c r="N27" s="42">
        <f t="shared" si="8"/>
        <v>1</v>
      </c>
      <c r="O27" s="42">
        <f>VLOOKUP(A27,'Rate Analysis'!A:R,16,0)</f>
        <v>1390</v>
      </c>
      <c r="P27" s="42">
        <f t="shared" si="9"/>
        <v>1390</v>
      </c>
      <c r="Q27" s="42">
        <f t="shared" si="10"/>
        <v>660.25</v>
      </c>
      <c r="R27" s="42">
        <f t="shared" si="11"/>
        <v>660.25</v>
      </c>
      <c r="S27" s="43">
        <f t="shared" si="12"/>
        <v>2050.25</v>
      </c>
      <c r="T27" s="43">
        <f t="shared" si="13"/>
        <v>2050.25</v>
      </c>
    </row>
    <row r="28" spans="1:20" x14ac:dyDescent="0.35">
      <c r="A28" s="26" t="s">
        <v>1363</v>
      </c>
      <c r="B28" s="3" t="s">
        <v>1143</v>
      </c>
      <c r="C28" s="26" t="s">
        <v>1152</v>
      </c>
      <c r="D28" s="26" t="s">
        <v>1092</v>
      </c>
      <c r="E28" s="26"/>
      <c r="F28" s="26"/>
      <c r="G28" s="26"/>
      <c r="H28" s="26"/>
      <c r="I28" s="41" t="s">
        <v>1158</v>
      </c>
      <c r="J28" s="42">
        <v>1</v>
      </c>
      <c r="K28" s="3" t="s">
        <v>1147</v>
      </c>
      <c r="L28" s="42">
        <v>1</v>
      </c>
      <c r="M28" s="42">
        <f t="shared" si="7"/>
        <v>0</v>
      </c>
      <c r="N28" s="42">
        <f t="shared" si="8"/>
        <v>1</v>
      </c>
      <c r="O28" s="42">
        <f>VLOOKUP(A28,'Rate Analysis'!A:R,16,0)</f>
        <v>1390</v>
      </c>
      <c r="P28" s="42">
        <f t="shared" si="9"/>
        <v>1390</v>
      </c>
      <c r="Q28" s="42">
        <f t="shared" si="10"/>
        <v>660.25</v>
      </c>
      <c r="R28" s="42">
        <f t="shared" si="11"/>
        <v>660.25</v>
      </c>
      <c r="S28" s="43">
        <f t="shared" si="12"/>
        <v>2050.25</v>
      </c>
      <c r="T28" s="43">
        <f t="shared" si="13"/>
        <v>2050.25</v>
      </c>
    </row>
    <row r="29" spans="1:20" x14ac:dyDescent="0.35">
      <c r="A29" s="26" t="s">
        <v>1364</v>
      </c>
      <c r="B29" s="3" t="s">
        <v>1144</v>
      </c>
      <c r="C29" s="26" t="s">
        <v>1152</v>
      </c>
      <c r="D29" s="26" t="s">
        <v>1092</v>
      </c>
      <c r="E29" s="26"/>
      <c r="F29" s="26"/>
      <c r="G29" s="26"/>
      <c r="H29" s="26"/>
      <c r="I29" s="41" t="s">
        <v>1159</v>
      </c>
      <c r="J29" s="42">
        <v>1</v>
      </c>
      <c r="K29" s="3" t="s">
        <v>1147</v>
      </c>
      <c r="L29" s="42">
        <v>1</v>
      </c>
      <c r="M29" s="42">
        <f t="shared" si="7"/>
        <v>0</v>
      </c>
      <c r="N29" s="42">
        <f t="shared" si="8"/>
        <v>1</v>
      </c>
      <c r="O29" s="42">
        <f>VLOOKUP(A29,'Rate Analysis'!A:R,16,0)</f>
        <v>1390</v>
      </c>
      <c r="P29" s="42">
        <f t="shared" si="9"/>
        <v>1390</v>
      </c>
      <c r="Q29" s="42">
        <f t="shared" si="10"/>
        <v>660.25</v>
      </c>
      <c r="R29" s="42">
        <f t="shared" si="11"/>
        <v>660.25</v>
      </c>
      <c r="S29" s="43">
        <f t="shared" si="12"/>
        <v>2050.25</v>
      </c>
      <c r="T29" s="43">
        <f t="shared" si="13"/>
        <v>2050.25</v>
      </c>
    </row>
    <row r="30" spans="1:20" x14ac:dyDescent="0.35">
      <c r="A30" s="26" t="s">
        <v>1365</v>
      </c>
      <c r="B30" s="3" t="s">
        <v>1145</v>
      </c>
      <c r="C30" s="26" t="s">
        <v>1152</v>
      </c>
      <c r="D30" s="26" t="s">
        <v>1092</v>
      </c>
      <c r="E30" s="26"/>
      <c r="F30" s="26"/>
      <c r="G30" s="26"/>
      <c r="H30" s="26"/>
      <c r="I30" s="41" t="s">
        <v>1160</v>
      </c>
      <c r="J30" s="42">
        <v>1</v>
      </c>
      <c r="K30" s="3" t="s">
        <v>1147</v>
      </c>
      <c r="L30" s="42">
        <v>1</v>
      </c>
      <c r="M30" s="42">
        <f t="shared" si="7"/>
        <v>0</v>
      </c>
      <c r="N30" s="42">
        <f t="shared" si="8"/>
        <v>1</v>
      </c>
      <c r="O30" s="42">
        <f>VLOOKUP(A30,'Rate Analysis'!A:R,16,0)</f>
        <v>1075</v>
      </c>
      <c r="P30" s="42">
        <f t="shared" si="9"/>
        <v>1075</v>
      </c>
      <c r="Q30" s="42">
        <f t="shared" si="10"/>
        <v>510.62500000000006</v>
      </c>
      <c r="R30" s="42">
        <f t="shared" si="11"/>
        <v>510.62500000000006</v>
      </c>
      <c r="S30" s="43">
        <f t="shared" si="12"/>
        <v>1585.625</v>
      </c>
      <c r="T30" s="43">
        <f t="shared" si="13"/>
        <v>1585.625</v>
      </c>
    </row>
    <row r="31" spans="1:20" x14ac:dyDescent="0.35">
      <c r="A31" s="26" t="s">
        <v>1366</v>
      </c>
      <c r="B31" s="3" t="s">
        <v>1136</v>
      </c>
      <c r="C31" s="26" t="s">
        <v>1152</v>
      </c>
      <c r="D31" s="26" t="s">
        <v>235</v>
      </c>
      <c r="E31" s="26"/>
      <c r="F31" s="26"/>
      <c r="G31" s="26"/>
      <c r="H31" s="26"/>
      <c r="I31" s="41" t="s">
        <v>1161</v>
      </c>
      <c r="J31" s="42">
        <v>1</v>
      </c>
      <c r="K31" s="3" t="s">
        <v>1147</v>
      </c>
      <c r="L31" s="42">
        <v>1</v>
      </c>
      <c r="M31" s="42">
        <f t="shared" si="7"/>
        <v>0</v>
      </c>
      <c r="N31" s="42">
        <f t="shared" si="8"/>
        <v>1</v>
      </c>
      <c r="O31" s="42">
        <f>VLOOKUP(A31,'Rate Analysis'!A:R,16,0)</f>
        <v>2400</v>
      </c>
      <c r="P31" s="42">
        <f t="shared" si="9"/>
        <v>2400</v>
      </c>
      <c r="Q31" s="42">
        <f t="shared" si="10"/>
        <v>1140</v>
      </c>
      <c r="R31" s="42">
        <f t="shared" si="11"/>
        <v>1140</v>
      </c>
      <c r="S31" s="43">
        <f t="shared" si="12"/>
        <v>3540</v>
      </c>
      <c r="T31" s="43">
        <f t="shared" si="13"/>
        <v>3540</v>
      </c>
    </row>
    <row r="32" spans="1:20" x14ac:dyDescent="0.35">
      <c r="A32" s="26" t="s">
        <v>1367</v>
      </c>
      <c r="B32" s="3" t="s">
        <v>1170</v>
      </c>
      <c r="C32" s="26" t="s">
        <v>1152</v>
      </c>
      <c r="D32" s="26" t="s">
        <v>235</v>
      </c>
      <c r="E32" s="26"/>
      <c r="F32" s="26"/>
      <c r="G32" s="26"/>
      <c r="H32" s="26"/>
      <c r="I32" s="41" t="s">
        <v>1164</v>
      </c>
      <c r="J32" s="42">
        <v>1</v>
      </c>
      <c r="K32" s="3" t="s">
        <v>1147</v>
      </c>
      <c r="L32" s="42">
        <v>1</v>
      </c>
      <c r="M32" s="42">
        <f t="shared" si="7"/>
        <v>0</v>
      </c>
      <c r="N32" s="42">
        <f t="shared" si="8"/>
        <v>1</v>
      </c>
      <c r="O32" s="42">
        <f>VLOOKUP(A32,'Rate Analysis'!A:R,16,0)</f>
        <v>2400</v>
      </c>
      <c r="P32" s="42">
        <f t="shared" si="9"/>
        <v>2400</v>
      </c>
      <c r="Q32" s="42">
        <f t="shared" si="10"/>
        <v>1140</v>
      </c>
      <c r="R32" s="42">
        <f t="shared" si="11"/>
        <v>1140</v>
      </c>
      <c r="S32" s="43">
        <f t="shared" si="12"/>
        <v>3540</v>
      </c>
      <c r="T32" s="43">
        <f t="shared" si="13"/>
        <v>3540</v>
      </c>
    </row>
    <row r="33" spans="1:20" x14ac:dyDescent="0.35">
      <c r="A33" s="26" t="s">
        <v>1368</v>
      </c>
      <c r="B33" s="3" t="s">
        <v>1137</v>
      </c>
      <c r="C33" s="26" t="s">
        <v>1152</v>
      </c>
      <c r="D33" s="26" t="s">
        <v>235</v>
      </c>
      <c r="E33" s="26"/>
      <c r="F33" s="26"/>
      <c r="G33" s="26"/>
      <c r="H33" s="26"/>
      <c r="I33" s="41" t="s">
        <v>1165</v>
      </c>
      <c r="J33" s="42">
        <v>1</v>
      </c>
      <c r="K33" s="3" t="s">
        <v>1147</v>
      </c>
      <c r="L33" s="42">
        <v>1</v>
      </c>
      <c r="M33" s="42">
        <f t="shared" si="7"/>
        <v>0</v>
      </c>
      <c r="N33" s="42">
        <f t="shared" si="8"/>
        <v>1</v>
      </c>
      <c r="O33" s="42">
        <f>VLOOKUP(A33,'Rate Analysis'!A:R,16,0)</f>
        <v>2400</v>
      </c>
      <c r="P33" s="42">
        <f t="shared" si="9"/>
        <v>2400</v>
      </c>
      <c r="Q33" s="42">
        <f t="shared" si="10"/>
        <v>1140</v>
      </c>
      <c r="R33" s="42">
        <f t="shared" si="11"/>
        <v>1140</v>
      </c>
      <c r="S33" s="43">
        <f t="shared" si="12"/>
        <v>3540</v>
      </c>
      <c r="T33" s="43">
        <f t="shared" si="13"/>
        <v>3540</v>
      </c>
    </row>
    <row r="34" spans="1:20" x14ac:dyDescent="0.35">
      <c r="A34" s="26" t="s">
        <v>1369</v>
      </c>
      <c r="B34" s="3" t="s">
        <v>1171</v>
      </c>
      <c r="C34" s="26" t="s">
        <v>1152</v>
      </c>
      <c r="D34" s="26" t="s">
        <v>1092</v>
      </c>
      <c r="E34" s="26"/>
      <c r="F34" s="26"/>
      <c r="G34" s="26"/>
      <c r="H34" s="26"/>
      <c r="I34" s="41" t="s">
        <v>1166</v>
      </c>
      <c r="J34" s="42">
        <v>1</v>
      </c>
      <c r="K34" s="3" t="s">
        <v>1147</v>
      </c>
      <c r="L34" s="42">
        <v>1</v>
      </c>
      <c r="M34" s="42">
        <f t="shared" si="7"/>
        <v>0</v>
      </c>
      <c r="N34" s="42">
        <f t="shared" si="8"/>
        <v>1</v>
      </c>
      <c r="O34" s="42">
        <f>VLOOKUP(A34,'Rate Analysis'!A:R,16,0)</f>
        <v>1075</v>
      </c>
      <c r="P34" s="42">
        <f t="shared" si="9"/>
        <v>1075</v>
      </c>
      <c r="Q34" s="42">
        <f t="shared" si="10"/>
        <v>510.62500000000006</v>
      </c>
      <c r="R34" s="42">
        <f t="shared" si="11"/>
        <v>510.62500000000006</v>
      </c>
      <c r="S34" s="43">
        <f t="shared" si="12"/>
        <v>1585.625</v>
      </c>
      <c r="T34" s="43">
        <f t="shared" si="13"/>
        <v>1585.625</v>
      </c>
    </row>
    <row r="35" spans="1:20" x14ac:dyDescent="0.35">
      <c r="A35" s="26" t="s">
        <v>1370</v>
      </c>
      <c r="B35" s="3" t="s">
        <v>8</v>
      </c>
      <c r="C35" s="26" t="s">
        <v>1152</v>
      </c>
      <c r="D35" s="26" t="s">
        <v>235</v>
      </c>
      <c r="E35" s="26"/>
      <c r="F35" s="26"/>
      <c r="G35" s="26"/>
      <c r="H35" s="26"/>
      <c r="I35" s="41" t="s">
        <v>1167</v>
      </c>
      <c r="J35" s="42">
        <v>1</v>
      </c>
      <c r="K35" s="3" t="s">
        <v>1147</v>
      </c>
      <c r="L35" s="42">
        <v>1</v>
      </c>
      <c r="M35" s="42">
        <f t="shared" si="7"/>
        <v>0</v>
      </c>
      <c r="N35" s="42">
        <f t="shared" si="8"/>
        <v>1</v>
      </c>
      <c r="O35" s="42">
        <f>VLOOKUP(A35,'Rate Analysis'!A:R,16,0)</f>
        <v>1075</v>
      </c>
      <c r="P35" s="42">
        <f t="shared" si="9"/>
        <v>1075</v>
      </c>
      <c r="Q35" s="42">
        <f t="shared" si="10"/>
        <v>510.62500000000006</v>
      </c>
      <c r="R35" s="42">
        <f t="shared" si="11"/>
        <v>510.62500000000006</v>
      </c>
      <c r="S35" s="43">
        <f t="shared" si="12"/>
        <v>1585.625</v>
      </c>
      <c r="T35" s="43">
        <f t="shared" si="13"/>
        <v>1585.625</v>
      </c>
    </row>
    <row r="36" spans="1:20" x14ac:dyDescent="0.35">
      <c r="A36" s="26" t="s">
        <v>1371</v>
      </c>
      <c r="B36" s="3" t="s">
        <v>1172</v>
      </c>
      <c r="C36" s="26" t="s">
        <v>1152</v>
      </c>
      <c r="D36" s="26" t="s">
        <v>235</v>
      </c>
      <c r="E36" s="26"/>
      <c r="F36" s="26"/>
      <c r="G36" s="26"/>
      <c r="H36" s="26"/>
      <c r="I36" s="41" t="s">
        <v>1168</v>
      </c>
      <c r="J36" s="42">
        <v>1</v>
      </c>
      <c r="K36" s="3" t="s">
        <v>1147</v>
      </c>
      <c r="L36" s="42">
        <v>1</v>
      </c>
      <c r="M36" s="42">
        <f t="shared" si="7"/>
        <v>0</v>
      </c>
      <c r="N36" s="42">
        <f t="shared" si="8"/>
        <v>1</v>
      </c>
      <c r="O36" s="42">
        <f>VLOOKUP(A36,'Rate Analysis'!A:R,16,0)</f>
        <v>2400</v>
      </c>
      <c r="P36" s="42">
        <f t="shared" si="9"/>
        <v>2400</v>
      </c>
      <c r="Q36" s="42">
        <f t="shared" si="10"/>
        <v>1140</v>
      </c>
      <c r="R36" s="42">
        <f t="shared" si="11"/>
        <v>1140</v>
      </c>
      <c r="S36" s="43">
        <f t="shared" si="12"/>
        <v>3540</v>
      </c>
      <c r="T36" s="43">
        <f t="shared" si="13"/>
        <v>3540</v>
      </c>
    </row>
    <row r="37" spans="1:20" x14ac:dyDescent="0.35">
      <c r="A37" s="26" t="s">
        <v>1372</v>
      </c>
      <c r="B37" s="3" t="s">
        <v>1173</v>
      </c>
      <c r="C37" s="26" t="s">
        <v>1152</v>
      </c>
      <c r="D37" s="26" t="s">
        <v>235</v>
      </c>
      <c r="E37" s="26"/>
      <c r="F37" s="26"/>
      <c r="G37" s="26"/>
      <c r="H37" s="26"/>
      <c r="I37" s="41" t="s">
        <v>1169</v>
      </c>
      <c r="J37" s="42">
        <v>1</v>
      </c>
      <c r="K37" s="3" t="s">
        <v>1147</v>
      </c>
      <c r="L37" s="42">
        <v>1</v>
      </c>
      <c r="M37" s="42">
        <f t="shared" si="7"/>
        <v>0</v>
      </c>
      <c r="N37" s="42">
        <f t="shared" si="8"/>
        <v>1</v>
      </c>
      <c r="O37" s="42">
        <f>VLOOKUP(A37,'Rate Analysis'!A:R,16,0)</f>
        <v>1200</v>
      </c>
      <c r="P37" s="42">
        <f t="shared" si="9"/>
        <v>1200</v>
      </c>
      <c r="Q37" s="42">
        <f t="shared" si="10"/>
        <v>570</v>
      </c>
      <c r="R37" s="42">
        <f t="shared" si="11"/>
        <v>570</v>
      </c>
      <c r="S37" s="43">
        <f t="shared" si="12"/>
        <v>1770</v>
      </c>
      <c r="T37" s="43">
        <f t="shared" si="13"/>
        <v>1770</v>
      </c>
    </row>
    <row r="38" spans="1:20" x14ac:dyDescent="0.35">
      <c r="A38" s="26" t="s">
        <v>1373</v>
      </c>
      <c r="B38" s="3" t="s">
        <v>1174</v>
      </c>
      <c r="C38" s="26" t="s">
        <v>1152</v>
      </c>
      <c r="D38" s="26" t="s">
        <v>235</v>
      </c>
      <c r="E38" s="26"/>
      <c r="F38" s="26"/>
      <c r="G38" s="26"/>
      <c r="H38" s="26"/>
      <c r="I38" s="41" t="s">
        <v>1177</v>
      </c>
      <c r="J38" s="42">
        <v>1</v>
      </c>
      <c r="K38" s="3" t="s">
        <v>1147</v>
      </c>
      <c r="L38" s="42">
        <v>1</v>
      </c>
      <c r="M38" s="42">
        <f t="shared" si="7"/>
        <v>0</v>
      </c>
      <c r="N38" s="42">
        <f t="shared" si="8"/>
        <v>1</v>
      </c>
      <c r="O38" s="42">
        <f>VLOOKUP(A38,'Rate Analysis'!A:R,16,0)</f>
        <v>240</v>
      </c>
      <c r="P38" s="42">
        <f t="shared" si="9"/>
        <v>240</v>
      </c>
      <c r="Q38" s="42">
        <f t="shared" si="10"/>
        <v>114.00000000000001</v>
      </c>
      <c r="R38" s="42">
        <f t="shared" si="11"/>
        <v>114.00000000000001</v>
      </c>
      <c r="S38" s="43">
        <f t="shared" si="12"/>
        <v>354</v>
      </c>
      <c r="T38" s="43">
        <f t="shared" si="13"/>
        <v>354</v>
      </c>
    </row>
    <row r="39" spans="1:20" x14ac:dyDescent="0.35">
      <c r="A39" s="26" t="s">
        <v>1374</v>
      </c>
      <c r="B39" s="3" t="s">
        <v>1175</v>
      </c>
      <c r="C39" s="26" t="s">
        <v>1152</v>
      </c>
      <c r="D39" s="26" t="s">
        <v>235</v>
      </c>
      <c r="E39" s="26"/>
      <c r="F39" s="26"/>
      <c r="G39" s="26"/>
      <c r="H39" s="26"/>
      <c r="I39" s="41" t="s">
        <v>1178</v>
      </c>
      <c r="J39" s="42">
        <v>1</v>
      </c>
      <c r="K39" s="3" t="s">
        <v>1147</v>
      </c>
      <c r="L39" s="42">
        <v>1</v>
      </c>
      <c r="M39" s="42">
        <f t="shared" si="7"/>
        <v>0</v>
      </c>
      <c r="N39" s="42">
        <f t="shared" si="8"/>
        <v>1</v>
      </c>
      <c r="O39" s="42">
        <f>VLOOKUP(A39,'Rate Analysis'!A:R,16,0)</f>
        <v>240</v>
      </c>
      <c r="P39" s="42">
        <f t="shared" si="9"/>
        <v>240</v>
      </c>
      <c r="Q39" s="42">
        <f t="shared" si="10"/>
        <v>114.00000000000001</v>
      </c>
      <c r="R39" s="42">
        <f t="shared" si="11"/>
        <v>114.00000000000001</v>
      </c>
      <c r="S39" s="43">
        <f t="shared" si="12"/>
        <v>354</v>
      </c>
      <c r="T39" s="43">
        <f t="shared" si="13"/>
        <v>354</v>
      </c>
    </row>
    <row r="40" spans="1:20" x14ac:dyDescent="0.35">
      <c r="A40" s="26" t="s">
        <v>1375</v>
      </c>
      <c r="B40" s="3" t="s">
        <v>1176</v>
      </c>
      <c r="C40" s="26" t="s">
        <v>1152</v>
      </c>
      <c r="D40" s="26" t="s">
        <v>235</v>
      </c>
      <c r="E40" s="26"/>
      <c r="F40" s="26"/>
      <c r="G40" s="26"/>
      <c r="H40" s="26"/>
      <c r="I40" s="41" t="s">
        <v>1179</v>
      </c>
      <c r="J40" s="42">
        <v>1</v>
      </c>
      <c r="K40" s="3" t="s">
        <v>1147</v>
      </c>
      <c r="L40" s="42">
        <v>1</v>
      </c>
      <c r="M40" s="42">
        <f t="shared" si="7"/>
        <v>0</v>
      </c>
      <c r="N40" s="42">
        <f t="shared" si="8"/>
        <v>1</v>
      </c>
      <c r="O40" s="42">
        <f>VLOOKUP(A40,'Rate Analysis'!A:R,16,0)</f>
        <v>52.5</v>
      </c>
      <c r="P40" s="42">
        <f t="shared" si="9"/>
        <v>52.5</v>
      </c>
      <c r="Q40" s="42">
        <f t="shared" si="10"/>
        <v>24.9375</v>
      </c>
      <c r="R40" s="42">
        <f t="shared" si="11"/>
        <v>24.9375</v>
      </c>
      <c r="S40" s="43">
        <f t="shared" si="12"/>
        <v>77.4375</v>
      </c>
      <c r="T40" s="43">
        <f t="shared" si="13"/>
        <v>77.4375</v>
      </c>
    </row>
    <row r="41" spans="1:20" s="14" customFormat="1" x14ac:dyDescent="0.35">
      <c r="A41" s="24"/>
      <c r="B41" s="5"/>
      <c r="C41" s="24"/>
      <c r="D41" s="24"/>
      <c r="E41" s="24"/>
      <c r="F41" s="24"/>
      <c r="G41" s="24"/>
      <c r="H41" s="24"/>
      <c r="I41" s="44"/>
      <c r="J41" s="16"/>
      <c r="K41" s="5"/>
      <c r="L41" s="16"/>
      <c r="M41" s="16"/>
      <c r="N41" s="16"/>
      <c r="O41" s="16"/>
      <c r="P41" s="16"/>
      <c r="Q41" s="16"/>
      <c r="R41" s="16"/>
      <c r="S41" s="40"/>
      <c r="T41" s="40"/>
    </row>
    <row r="42" spans="1:20" x14ac:dyDescent="0.35">
      <c r="A42" s="24">
        <v>3</v>
      </c>
      <c r="B42" s="5">
        <v>3</v>
      </c>
      <c r="C42" s="24"/>
      <c r="D42" s="24"/>
      <c r="E42" s="24"/>
      <c r="F42" s="24"/>
      <c r="G42" s="24"/>
      <c r="H42" s="24"/>
      <c r="I42" s="7" t="s">
        <v>1185</v>
      </c>
      <c r="J42" s="16"/>
      <c r="K42" s="5"/>
      <c r="L42" s="16"/>
      <c r="M42" s="16"/>
      <c r="N42" s="16"/>
      <c r="O42" s="16"/>
      <c r="P42" s="16"/>
      <c r="Q42" s="16"/>
      <c r="R42" s="16"/>
      <c r="S42" s="40"/>
      <c r="T42" s="40"/>
    </row>
    <row r="43" spans="1:20" x14ac:dyDescent="0.35">
      <c r="A43" s="26" t="s">
        <v>1376</v>
      </c>
      <c r="B43" s="3" t="s">
        <v>1135</v>
      </c>
      <c r="C43" s="26" t="s">
        <v>1185</v>
      </c>
      <c r="D43" s="26" t="s">
        <v>144</v>
      </c>
      <c r="E43" s="26" t="s">
        <v>1430</v>
      </c>
      <c r="F43" s="26"/>
      <c r="G43" s="26"/>
      <c r="H43" s="26"/>
      <c r="I43" s="41" t="s">
        <v>1186</v>
      </c>
      <c r="J43" s="42">
        <v>1025</v>
      </c>
      <c r="K43" s="3" t="s">
        <v>12</v>
      </c>
      <c r="L43" s="42">
        <f>'QTO-Structure'!T25</f>
        <v>1025</v>
      </c>
      <c r="M43" s="42">
        <f t="shared" ref="M43:M58" si="14">L43-J43</f>
        <v>0</v>
      </c>
      <c r="N43" s="42">
        <f t="shared" ref="N43:N58" si="15">L43</f>
        <v>1025</v>
      </c>
      <c r="O43" s="42">
        <f>VLOOKUP(A43,'Rate Analysis'!A:R,16,0)</f>
        <v>1667.5</v>
      </c>
      <c r="P43" s="42">
        <f t="shared" ref="P43:P58" si="16">+O43*N43</f>
        <v>1709187.5</v>
      </c>
      <c r="Q43" s="42">
        <f t="shared" ref="Q43:Q58" si="17">O43*$Q$8</f>
        <v>792.0625</v>
      </c>
      <c r="R43" s="42">
        <f t="shared" ref="R43:R58" si="18">+Q43*N43</f>
        <v>811864.0625</v>
      </c>
      <c r="S43" s="43">
        <f t="shared" ref="S43:S58" si="19">O43+Q43</f>
        <v>2459.5625</v>
      </c>
      <c r="T43" s="43">
        <f t="shared" ref="T43:T58" si="20">+S43*N43</f>
        <v>2521051.5625</v>
      </c>
    </row>
    <row r="44" spans="1:20" x14ac:dyDescent="0.35">
      <c r="A44" s="26" t="s">
        <v>1377</v>
      </c>
      <c r="B44" s="3" t="s">
        <v>1140</v>
      </c>
      <c r="C44" s="26" t="s">
        <v>1185</v>
      </c>
      <c r="D44" s="26" t="s">
        <v>144</v>
      </c>
      <c r="E44" s="26" t="s">
        <v>1430</v>
      </c>
      <c r="F44" s="26"/>
      <c r="G44" s="26"/>
      <c r="H44" s="26"/>
      <c r="I44" s="41" t="s">
        <v>1187</v>
      </c>
      <c r="J44" s="42">
        <v>100</v>
      </c>
      <c r="K44" s="3" t="s">
        <v>12</v>
      </c>
      <c r="L44" s="42">
        <f>+'QTO-Structure'!U25</f>
        <v>600</v>
      </c>
      <c r="M44" s="42">
        <f t="shared" si="14"/>
        <v>500</v>
      </c>
      <c r="N44" s="42">
        <f t="shared" si="15"/>
        <v>600</v>
      </c>
      <c r="O44" s="42">
        <f>VLOOKUP(A44,'Rate Analysis'!A:R,16,0)</f>
        <v>2375</v>
      </c>
      <c r="P44" s="42">
        <f t="shared" si="16"/>
        <v>1425000</v>
      </c>
      <c r="Q44" s="42">
        <f t="shared" si="17"/>
        <v>1128.125</v>
      </c>
      <c r="R44" s="42">
        <f t="shared" si="18"/>
        <v>676875</v>
      </c>
      <c r="S44" s="43">
        <f t="shared" si="19"/>
        <v>3503.125</v>
      </c>
      <c r="T44" s="43">
        <f t="shared" si="20"/>
        <v>2101875</v>
      </c>
    </row>
    <row r="45" spans="1:20" x14ac:dyDescent="0.35">
      <c r="A45" s="26" t="s">
        <v>1378</v>
      </c>
      <c r="B45" s="3" t="s">
        <v>1141</v>
      </c>
      <c r="C45" s="26" t="s">
        <v>1185</v>
      </c>
      <c r="D45" s="26" t="s">
        <v>144</v>
      </c>
      <c r="E45" s="26" t="s">
        <v>1430</v>
      </c>
      <c r="F45" s="26"/>
      <c r="G45" s="26"/>
      <c r="H45" s="26"/>
      <c r="I45" s="41" t="s">
        <v>1188</v>
      </c>
      <c r="J45" s="42">
        <v>400</v>
      </c>
      <c r="K45" s="3" t="s">
        <v>12</v>
      </c>
      <c r="L45" s="42">
        <f>+'QTO-Structure'!V25</f>
        <v>400</v>
      </c>
      <c r="M45" s="42">
        <f t="shared" si="14"/>
        <v>0</v>
      </c>
      <c r="N45" s="42">
        <f t="shared" si="15"/>
        <v>400</v>
      </c>
      <c r="O45" s="42">
        <f>VLOOKUP(A45,'Rate Analysis'!A:R,16,0)</f>
        <v>1655</v>
      </c>
      <c r="P45" s="42">
        <f t="shared" si="16"/>
        <v>662000</v>
      </c>
      <c r="Q45" s="42">
        <f t="shared" si="17"/>
        <v>786.125</v>
      </c>
      <c r="R45" s="42">
        <f t="shared" si="18"/>
        <v>314450</v>
      </c>
      <c r="S45" s="43">
        <f t="shared" si="19"/>
        <v>2441.125</v>
      </c>
      <c r="T45" s="43">
        <f t="shared" si="20"/>
        <v>976450</v>
      </c>
    </row>
    <row r="46" spans="1:20" x14ac:dyDescent="0.35">
      <c r="A46" s="26" t="s">
        <v>1379</v>
      </c>
      <c r="B46" s="3" t="s">
        <v>1142</v>
      </c>
      <c r="C46" s="26" t="s">
        <v>1185</v>
      </c>
      <c r="D46" s="26" t="s">
        <v>144</v>
      </c>
      <c r="E46" s="26" t="s">
        <v>211</v>
      </c>
      <c r="F46" s="26"/>
      <c r="G46" s="26"/>
      <c r="H46" s="26"/>
      <c r="I46" s="41" t="s">
        <v>1189</v>
      </c>
      <c r="J46" s="42">
        <v>1</v>
      </c>
      <c r="K46" s="3" t="s">
        <v>1147</v>
      </c>
      <c r="L46" s="42">
        <v>1</v>
      </c>
      <c r="M46" s="42">
        <f t="shared" si="14"/>
        <v>0</v>
      </c>
      <c r="N46" s="42">
        <f t="shared" si="15"/>
        <v>1</v>
      </c>
      <c r="O46" s="42">
        <f>VLOOKUP(A46,'Rate Analysis'!A:R,16,0)</f>
        <v>123500</v>
      </c>
      <c r="P46" s="42">
        <f t="shared" si="16"/>
        <v>123500</v>
      </c>
      <c r="Q46" s="42">
        <f t="shared" si="17"/>
        <v>58662.500000000007</v>
      </c>
      <c r="R46" s="42">
        <f t="shared" si="18"/>
        <v>58662.500000000007</v>
      </c>
      <c r="S46" s="43">
        <f t="shared" si="19"/>
        <v>182162.5</v>
      </c>
      <c r="T46" s="43">
        <f t="shared" si="20"/>
        <v>182162.5</v>
      </c>
    </row>
    <row r="47" spans="1:20" x14ac:dyDescent="0.35">
      <c r="A47" s="26" t="s">
        <v>1380</v>
      </c>
      <c r="B47" s="3" t="s">
        <v>1139</v>
      </c>
      <c r="C47" s="26" t="s">
        <v>1185</v>
      </c>
      <c r="D47" s="26" t="s">
        <v>144</v>
      </c>
      <c r="E47" s="26" t="s">
        <v>1432</v>
      </c>
      <c r="F47" s="26"/>
      <c r="G47" s="26"/>
      <c r="H47" s="26"/>
      <c r="I47" s="41" t="s">
        <v>1190</v>
      </c>
      <c r="J47" s="42">
        <v>6850</v>
      </c>
      <c r="K47" s="3" t="s">
        <v>10</v>
      </c>
      <c r="L47" s="42">
        <f>+'QTO-Structure'!W25</f>
        <v>6850</v>
      </c>
      <c r="M47" s="42">
        <f t="shared" si="14"/>
        <v>0</v>
      </c>
      <c r="N47" s="42">
        <f t="shared" si="15"/>
        <v>6850</v>
      </c>
      <c r="O47" s="42">
        <f>VLOOKUP(A47,'Rate Analysis'!A:R,16,0)</f>
        <v>150</v>
      </c>
      <c r="P47" s="42">
        <f t="shared" si="16"/>
        <v>1027500</v>
      </c>
      <c r="Q47" s="42">
        <f t="shared" si="17"/>
        <v>71.25</v>
      </c>
      <c r="R47" s="42">
        <f t="shared" si="18"/>
        <v>488062.5</v>
      </c>
      <c r="S47" s="43">
        <f t="shared" si="19"/>
        <v>221.25</v>
      </c>
      <c r="T47" s="43">
        <f t="shared" si="20"/>
        <v>1515562.5</v>
      </c>
    </row>
    <row r="48" spans="1:20" x14ac:dyDescent="0.35">
      <c r="A48" s="26" t="s">
        <v>1381</v>
      </c>
      <c r="B48" s="3" t="s">
        <v>1143</v>
      </c>
      <c r="C48" s="26" t="s">
        <v>1185</v>
      </c>
      <c r="D48" s="26" t="s">
        <v>144</v>
      </c>
      <c r="E48" s="26" t="s">
        <v>1432</v>
      </c>
      <c r="F48" s="26"/>
      <c r="G48" s="26"/>
      <c r="H48" s="26"/>
      <c r="I48" s="41" t="s">
        <v>1191</v>
      </c>
      <c r="J48" s="42">
        <v>1000</v>
      </c>
      <c r="K48" s="3" t="s">
        <v>10</v>
      </c>
      <c r="L48" s="42">
        <f>+'QTO-Structure'!X25</f>
        <v>1400</v>
      </c>
      <c r="M48" s="42">
        <f t="shared" si="14"/>
        <v>400</v>
      </c>
      <c r="N48" s="42">
        <f t="shared" si="15"/>
        <v>1400</v>
      </c>
      <c r="O48" s="42">
        <f>VLOOKUP(A48,'Rate Analysis'!A:R,16,0)</f>
        <v>180</v>
      </c>
      <c r="P48" s="42">
        <f t="shared" si="16"/>
        <v>252000</v>
      </c>
      <c r="Q48" s="42">
        <f t="shared" si="17"/>
        <v>85.5</v>
      </c>
      <c r="R48" s="42">
        <f t="shared" si="18"/>
        <v>119700</v>
      </c>
      <c r="S48" s="43">
        <f t="shared" si="19"/>
        <v>265.5</v>
      </c>
      <c r="T48" s="43">
        <f t="shared" si="20"/>
        <v>371700</v>
      </c>
    </row>
    <row r="49" spans="1:20" x14ac:dyDescent="0.35">
      <c r="A49" s="26" t="s">
        <v>1382</v>
      </c>
      <c r="B49" s="3" t="s">
        <v>1144</v>
      </c>
      <c r="C49" s="26" t="s">
        <v>1185</v>
      </c>
      <c r="D49" s="26" t="s">
        <v>144</v>
      </c>
      <c r="E49" s="26" t="s">
        <v>1432</v>
      </c>
      <c r="F49" s="26"/>
      <c r="G49" s="26"/>
      <c r="H49" s="26"/>
      <c r="I49" s="41" t="s">
        <v>1192</v>
      </c>
      <c r="J49" s="42">
        <v>2000</v>
      </c>
      <c r="K49" s="3" t="s">
        <v>10</v>
      </c>
      <c r="L49" s="42">
        <f>+'QTO-Structure'!Y25</f>
        <v>2000</v>
      </c>
      <c r="M49" s="42">
        <f t="shared" si="14"/>
        <v>0</v>
      </c>
      <c r="N49" s="42">
        <f t="shared" si="15"/>
        <v>2000</v>
      </c>
      <c r="O49" s="42">
        <f>VLOOKUP(A49,'Rate Analysis'!A:R,16,0)</f>
        <v>190</v>
      </c>
      <c r="P49" s="42">
        <f t="shared" si="16"/>
        <v>380000</v>
      </c>
      <c r="Q49" s="42">
        <f t="shared" si="17"/>
        <v>90.25</v>
      </c>
      <c r="R49" s="42">
        <f t="shared" si="18"/>
        <v>180500</v>
      </c>
      <c r="S49" s="43">
        <f t="shared" si="19"/>
        <v>280.25</v>
      </c>
      <c r="T49" s="43">
        <f t="shared" si="20"/>
        <v>560500</v>
      </c>
    </row>
    <row r="50" spans="1:20" x14ac:dyDescent="0.35">
      <c r="A50" s="26" t="s">
        <v>1383</v>
      </c>
      <c r="B50" s="3" t="s">
        <v>1145</v>
      </c>
      <c r="C50" s="26" t="s">
        <v>1185</v>
      </c>
      <c r="D50" s="26" t="s">
        <v>144</v>
      </c>
      <c r="E50" s="26" t="s">
        <v>1433</v>
      </c>
      <c r="F50" s="26"/>
      <c r="G50" s="26"/>
      <c r="H50" s="26"/>
      <c r="I50" s="41" t="s">
        <v>1194</v>
      </c>
      <c r="J50" s="42">
        <v>6850</v>
      </c>
      <c r="K50" s="3" t="s">
        <v>10</v>
      </c>
      <c r="L50" s="42">
        <f>+'QTO-Structure'!Z25</f>
        <v>6850</v>
      </c>
      <c r="M50" s="42">
        <f t="shared" si="14"/>
        <v>0</v>
      </c>
      <c r="N50" s="42">
        <f t="shared" si="15"/>
        <v>6850</v>
      </c>
      <c r="O50" s="42">
        <f>VLOOKUP(A50,'Rate Analysis'!A:R,16,0)</f>
        <v>80</v>
      </c>
      <c r="P50" s="42">
        <f t="shared" si="16"/>
        <v>548000</v>
      </c>
      <c r="Q50" s="42">
        <f t="shared" si="17"/>
        <v>38</v>
      </c>
      <c r="R50" s="42">
        <f t="shared" si="18"/>
        <v>260300</v>
      </c>
      <c r="S50" s="43">
        <f t="shared" si="19"/>
        <v>118</v>
      </c>
      <c r="T50" s="43">
        <f t="shared" si="20"/>
        <v>808300</v>
      </c>
    </row>
    <row r="51" spans="1:20" x14ac:dyDescent="0.35">
      <c r="A51" s="26" t="s">
        <v>1384</v>
      </c>
      <c r="B51" s="3" t="s">
        <v>1136</v>
      </c>
      <c r="C51" s="26" t="s">
        <v>1185</v>
      </c>
      <c r="D51" s="26" t="s">
        <v>144</v>
      </c>
      <c r="E51" s="26" t="s">
        <v>1433</v>
      </c>
      <c r="F51" s="26"/>
      <c r="G51" s="26"/>
      <c r="H51" s="26"/>
      <c r="I51" s="41" t="s">
        <v>1193</v>
      </c>
      <c r="J51" s="42">
        <v>1400</v>
      </c>
      <c r="K51" s="3" t="s">
        <v>10</v>
      </c>
      <c r="L51" s="42">
        <f>+'QTO-Structure'!AA25</f>
        <v>1400</v>
      </c>
      <c r="M51" s="42">
        <f t="shared" si="14"/>
        <v>0</v>
      </c>
      <c r="N51" s="42">
        <f t="shared" si="15"/>
        <v>1400</v>
      </c>
      <c r="O51" s="42">
        <f>VLOOKUP(A51,'Rate Analysis'!A:R,16,0)</f>
        <v>50</v>
      </c>
      <c r="P51" s="42">
        <f t="shared" si="16"/>
        <v>70000</v>
      </c>
      <c r="Q51" s="42">
        <f t="shared" si="17"/>
        <v>23.75</v>
      </c>
      <c r="R51" s="42">
        <f t="shared" si="18"/>
        <v>33250</v>
      </c>
      <c r="S51" s="43">
        <f t="shared" si="19"/>
        <v>73.75</v>
      </c>
      <c r="T51" s="43">
        <f t="shared" si="20"/>
        <v>103250</v>
      </c>
    </row>
    <row r="52" spans="1:20" x14ac:dyDescent="0.35">
      <c r="A52" s="26" t="s">
        <v>1385</v>
      </c>
      <c r="B52" s="3" t="s">
        <v>1170</v>
      </c>
      <c r="C52" s="26" t="s">
        <v>1185</v>
      </c>
      <c r="D52" s="26" t="s">
        <v>144</v>
      </c>
      <c r="E52" s="26" t="s">
        <v>1433</v>
      </c>
      <c r="F52" s="26"/>
      <c r="G52" s="26"/>
      <c r="H52" s="26"/>
      <c r="I52" s="41" t="s">
        <v>1195</v>
      </c>
      <c r="J52" s="42">
        <v>2000</v>
      </c>
      <c r="K52" s="3" t="s">
        <v>10</v>
      </c>
      <c r="L52" s="42">
        <f>+'QTO-Structure'!AB25</f>
        <v>2000</v>
      </c>
      <c r="M52" s="42">
        <f t="shared" si="14"/>
        <v>0</v>
      </c>
      <c r="N52" s="42">
        <f t="shared" si="15"/>
        <v>2000</v>
      </c>
      <c r="O52" s="42">
        <f>VLOOKUP(A52,'Rate Analysis'!A:R,16,0)</f>
        <v>80</v>
      </c>
      <c r="P52" s="42">
        <f t="shared" si="16"/>
        <v>160000</v>
      </c>
      <c r="Q52" s="42">
        <f t="shared" si="17"/>
        <v>38</v>
      </c>
      <c r="R52" s="42">
        <f t="shared" si="18"/>
        <v>76000</v>
      </c>
      <c r="S52" s="43">
        <f t="shared" si="19"/>
        <v>118</v>
      </c>
      <c r="T52" s="43">
        <f t="shared" si="20"/>
        <v>236000</v>
      </c>
    </row>
    <row r="53" spans="1:20" x14ac:dyDescent="0.35">
      <c r="A53" s="26" t="s">
        <v>1386</v>
      </c>
      <c r="B53" s="3" t="s">
        <v>1137</v>
      </c>
      <c r="C53" s="26" t="s">
        <v>1185</v>
      </c>
      <c r="D53" s="26" t="s">
        <v>235</v>
      </c>
      <c r="E53" s="26" t="s">
        <v>1431</v>
      </c>
      <c r="F53" s="26" t="s">
        <v>1272</v>
      </c>
      <c r="G53" s="26"/>
      <c r="H53" s="26"/>
      <c r="I53" s="41" t="s">
        <v>1208</v>
      </c>
      <c r="J53" s="42">
        <v>680</v>
      </c>
      <c r="K53" s="3" t="s">
        <v>10</v>
      </c>
      <c r="L53" s="42">
        <f>+'QTO-Walls'!T30</f>
        <v>680</v>
      </c>
      <c r="M53" s="42">
        <f t="shared" si="14"/>
        <v>0</v>
      </c>
      <c r="N53" s="42">
        <f t="shared" si="15"/>
        <v>680</v>
      </c>
      <c r="O53" s="42">
        <f>VLOOKUP(A53,'Rate Analysis'!A:R,16,0)</f>
        <v>125</v>
      </c>
      <c r="P53" s="42">
        <f t="shared" si="16"/>
        <v>85000</v>
      </c>
      <c r="Q53" s="42">
        <f t="shared" si="17"/>
        <v>59.375000000000007</v>
      </c>
      <c r="R53" s="42">
        <f t="shared" si="18"/>
        <v>40375.000000000007</v>
      </c>
      <c r="S53" s="43">
        <f t="shared" si="19"/>
        <v>184.375</v>
      </c>
      <c r="T53" s="43">
        <f t="shared" si="20"/>
        <v>125375</v>
      </c>
    </row>
    <row r="54" spans="1:20" x14ac:dyDescent="0.35">
      <c r="A54" s="26" t="s">
        <v>1387</v>
      </c>
      <c r="B54" s="3" t="s">
        <v>1171</v>
      </c>
      <c r="C54" s="26" t="s">
        <v>1185</v>
      </c>
      <c r="D54" s="26" t="s">
        <v>235</v>
      </c>
      <c r="E54" s="26" t="s">
        <v>1431</v>
      </c>
      <c r="F54" s="26" t="s">
        <v>1272</v>
      </c>
      <c r="G54" s="26"/>
      <c r="H54" s="26"/>
      <c r="I54" s="41" t="s">
        <v>1207</v>
      </c>
      <c r="J54" s="42">
        <v>680</v>
      </c>
      <c r="K54" s="3" t="s">
        <v>10</v>
      </c>
      <c r="L54" s="42">
        <f>+'QTO-Walls'!U30</f>
        <v>680</v>
      </c>
      <c r="M54" s="42">
        <f t="shared" si="14"/>
        <v>0</v>
      </c>
      <c r="N54" s="42">
        <f t="shared" si="15"/>
        <v>680</v>
      </c>
      <c r="O54" s="42">
        <f>VLOOKUP(A54,'Rate Analysis'!A:R,16,0)</f>
        <v>100</v>
      </c>
      <c r="P54" s="42">
        <f t="shared" si="16"/>
        <v>68000</v>
      </c>
      <c r="Q54" s="42">
        <f t="shared" si="17"/>
        <v>47.5</v>
      </c>
      <c r="R54" s="42">
        <f t="shared" si="18"/>
        <v>32300</v>
      </c>
      <c r="S54" s="43">
        <f t="shared" si="19"/>
        <v>147.5</v>
      </c>
      <c r="T54" s="43">
        <f t="shared" si="20"/>
        <v>100300</v>
      </c>
    </row>
    <row r="55" spans="1:20" x14ac:dyDescent="0.35">
      <c r="A55" s="26" t="s">
        <v>1388</v>
      </c>
      <c r="B55" s="3" t="s">
        <v>8</v>
      </c>
      <c r="C55" s="26" t="s">
        <v>1185</v>
      </c>
      <c r="D55" s="26" t="s">
        <v>235</v>
      </c>
      <c r="E55" s="26" t="s">
        <v>1431</v>
      </c>
      <c r="F55" s="26" t="s">
        <v>1272</v>
      </c>
      <c r="G55" s="26"/>
      <c r="H55" s="26"/>
      <c r="I55" s="41" t="s">
        <v>1209</v>
      </c>
      <c r="J55" s="42">
        <v>680</v>
      </c>
      <c r="K55" s="3" t="s">
        <v>10</v>
      </c>
      <c r="L55" s="42">
        <f>+'QTO-Walls'!V30</f>
        <v>680</v>
      </c>
      <c r="M55" s="42">
        <f t="shared" si="14"/>
        <v>0</v>
      </c>
      <c r="N55" s="42">
        <f t="shared" si="15"/>
        <v>680</v>
      </c>
      <c r="O55" s="42">
        <f>VLOOKUP(A55,'Rate Analysis'!A:R,16,0)</f>
        <v>50</v>
      </c>
      <c r="P55" s="42">
        <f t="shared" si="16"/>
        <v>34000</v>
      </c>
      <c r="Q55" s="42">
        <f t="shared" si="17"/>
        <v>23.75</v>
      </c>
      <c r="R55" s="42">
        <f t="shared" si="18"/>
        <v>16150</v>
      </c>
      <c r="S55" s="43">
        <f t="shared" si="19"/>
        <v>73.75</v>
      </c>
      <c r="T55" s="43">
        <f t="shared" si="20"/>
        <v>50150</v>
      </c>
    </row>
    <row r="56" spans="1:20" x14ac:dyDescent="0.35">
      <c r="A56" s="26" t="s">
        <v>1389</v>
      </c>
      <c r="B56" s="3" t="s">
        <v>1172</v>
      </c>
      <c r="C56" s="26" t="s">
        <v>1185</v>
      </c>
      <c r="D56" s="26" t="s">
        <v>235</v>
      </c>
      <c r="E56" s="26" t="s">
        <v>1333</v>
      </c>
      <c r="F56" s="26" t="s">
        <v>1271</v>
      </c>
      <c r="G56" s="26"/>
      <c r="H56" s="26"/>
      <c r="I56" s="41" t="s">
        <v>1210</v>
      </c>
      <c r="J56" s="42">
        <v>1380</v>
      </c>
      <c r="K56" s="3" t="s">
        <v>10</v>
      </c>
      <c r="L56" s="42">
        <f>+'QTO-Walls'!W30</f>
        <v>1380</v>
      </c>
      <c r="M56" s="42">
        <f t="shared" si="14"/>
        <v>0</v>
      </c>
      <c r="N56" s="42">
        <f t="shared" si="15"/>
        <v>1380</v>
      </c>
      <c r="O56" s="42">
        <f>VLOOKUP(A56,'Rate Analysis'!A:R,16,0)</f>
        <v>8917.5</v>
      </c>
      <c r="P56" s="42">
        <f t="shared" si="16"/>
        <v>12306150</v>
      </c>
      <c r="Q56" s="42">
        <f t="shared" si="17"/>
        <v>4235.8125</v>
      </c>
      <c r="R56" s="42">
        <f t="shared" si="18"/>
        <v>5845421.25</v>
      </c>
      <c r="S56" s="43">
        <f t="shared" si="19"/>
        <v>13153.3125</v>
      </c>
      <c r="T56" s="43">
        <f t="shared" si="20"/>
        <v>18151571.25</v>
      </c>
    </row>
    <row r="57" spans="1:20" x14ac:dyDescent="0.35">
      <c r="A57" s="26" t="s">
        <v>1390</v>
      </c>
      <c r="B57" s="3" t="s">
        <v>1173</v>
      </c>
      <c r="C57" s="26" t="s">
        <v>1185</v>
      </c>
      <c r="D57" s="26" t="s">
        <v>235</v>
      </c>
      <c r="E57" s="26" t="s">
        <v>1333</v>
      </c>
      <c r="F57" s="26" t="s">
        <v>1271</v>
      </c>
      <c r="G57" s="26"/>
      <c r="H57" s="26"/>
      <c r="I57" s="41" t="s">
        <v>1211</v>
      </c>
      <c r="J57" s="42">
        <v>1000</v>
      </c>
      <c r="K57" s="3" t="s">
        <v>10</v>
      </c>
      <c r="L57" s="42">
        <f>+'QTO-Walls'!X30</f>
        <v>1380</v>
      </c>
      <c r="M57" s="42">
        <f t="shared" si="14"/>
        <v>380</v>
      </c>
      <c r="N57" s="42">
        <f t="shared" si="15"/>
        <v>1380</v>
      </c>
      <c r="O57" s="42">
        <f>VLOOKUP(A57,'Rate Analysis'!A:R,16,0)</f>
        <v>18335</v>
      </c>
      <c r="P57" s="42">
        <f t="shared" si="16"/>
        <v>25302300</v>
      </c>
      <c r="Q57" s="42">
        <f t="shared" si="17"/>
        <v>8709.125</v>
      </c>
      <c r="R57" s="42">
        <f t="shared" si="18"/>
        <v>12018592.5</v>
      </c>
      <c r="S57" s="43">
        <f t="shared" si="19"/>
        <v>27044.125</v>
      </c>
      <c r="T57" s="43">
        <f t="shared" si="20"/>
        <v>37320892.5</v>
      </c>
    </row>
    <row r="58" spans="1:20" x14ac:dyDescent="0.35">
      <c r="A58" s="26" t="s">
        <v>1391</v>
      </c>
      <c r="B58" s="3" t="s">
        <v>1174</v>
      </c>
      <c r="C58" s="26" t="s">
        <v>1185</v>
      </c>
      <c r="D58" s="26" t="s">
        <v>235</v>
      </c>
      <c r="E58" s="26" t="s">
        <v>1431</v>
      </c>
      <c r="F58" s="26" t="s">
        <v>1309</v>
      </c>
      <c r="G58" s="26"/>
      <c r="H58" s="26"/>
      <c r="I58" s="41" t="s">
        <v>1219</v>
      </c>
      <c r="J58" s="42">
        <v>300</v>
      </c>
      <c r="K58" s="3" t="s">
        <v>10</v>
      </c>
      <c r="L58" s="42">
        <f>+'QTO-Walls'!Y30</f>
        <v>300</v>
      </c>
      <c r="M58" s="42">
        <f t="shared" si="14"/>
        <v>0</v>
      </c>
      <c r="N58" s="42">
        <f t="shared" si="15"/>
        <v>300</v>
      </c>
      <c r="O58" s="42">
        <f>VLOOKUP(A58,'Rate Analysis'!A:R,16,0)</f>
        <v>125</v>
      </c>
      <c r="P58" s="42">
        <f t="shared" si="16"/>
        <v>37500</v>
      </c>
      <c r="Q58" s="42">
        <f t="shared" si="17"/>
        <v>59.375000000000007</v>
      </c>
      <c r="R58" s="42">
        <f t="shared" si="18"/>
        <v>17812.500000000004</v>
      </c>
      <c r="S58" s="43">
        <f t="shared" si="19"/>
        <v>184.375</v>
      </c>
      <c r="T58" s="43">
        <f t="shared" si="20"/>
        <v>55312.5</v>
      </c>
    </row>
    <row r="59" spans="1:20" x14ac:dyDescent="0.35">
      <c r="A59" s="24"/>
      <c r="B59" s="5"/>
      <c r="C59" s="24"/>
      <c r="D59" s="24"/>
      <c r="E59" s="24"/>
      <c r="F59" s="24"/>
      <c r="G59" s="24"/>
      <c r="H59" s="24"/>
      <c r="I59" s="44"/>
      <c r="J59" s="16"/>
      <c r="K59" s="5"/>
      <c r="L59" s="16"/>
      <c r="M59" s="16"/>
      <c r="N59" s="16"/>
      <c r="O59" s="16"/>
      <c r="P59" s="16"/>
      <c r="Q59" s="16"/>
      <c r="R59" s="16"/>
      <c r="S59" s="40"/>
      <c r="T59" s="40"/>
    </row>
    <row r="60" spans="1:20" x14ac:dyDescent="0.35">
      <c r="A60" s="24">
        <v>4</v>
      </c>
      <c r="B60" s="5">
        <v>4</v>
      </c>
      <c r="C60" s="24"/>
      <c r="D60" s="24"/>
      <c r="E60" s="24"/>
      <c r="F60" s="24"/>
      <c r="G60" s="24"/>
      <c r="H60" s="24"/>
      <c r="I60" s="7" t="s">
        <v>1206</v>
      </c>
      <c r="J60" s="16"/>
      <c r="K60" s="5"/>
      <c r="L60" s="16"/>
      <c r="M60" s="16"/>
      <c r="N60" s="16"/>
      <c r="O60" s="16"/>
      <c r="P60" s="16"/>
      <c r="Q60" s="16"/>
      <c r="R60" s="16"/>
      <c r="S60" s="40"/>
      <c r="T60" s="40"/>
    </row>
    <row r="61" spans="1:20" ht="29" x14ac:dyDescent="0.35">
      <c r="A61" s="26" t="s">
        <v>1392</v>
      </c>
      <c r="B61" s="3" t="s">
        <v>1135</v>
      </c>
      <c r="C61" s="26" t="s">
        <v>1206</v>
      </c>
      <c r="D61" s="26" t="s">
        <v>1429</v>
      </c>
      <c r="E61" s="26" t="s">
        <v>1434</v>
      </c>
      <c r="F61" s="26"/>
      <c r="G61" s="26"/>
      <c r="H61" s="26"/>
      <c r="I61" s="41" t="s">
        <v>1197</v>
      </c>
      <c r="J61" s="42">
        <v>6000</v>
      </c>
      <c r="K61" s="3" t="s">
        <v>10</v>
      </c>
      <c r="L61" s="42">
        <f>+'QTO-Finishes'!T63</f>
        <v>6000</v>
      </c>
      <c r="M61" s="42">
        <f t="shared" ref="M61:M69" si="21">L61-J61</f>
        <v>0</v>
      </c>
      <c r="N61" s="42">
        <f t="shared" ref="N61:N69" si="22">L61</f>
        <v>6000</v>
      </c>
      <c r="O61" s="42">
        <f>VLOOKUP(A61,'Rate Analysis'!A:R,16,0)</f>
        <v>1377.5</v>
      </c>
      <c r="P61" s="42">
        <f t="shared" ref="P61:P69" si="23">+O61*N61</f>
        <v>8265000</v>
      </c>
      <c r="Q61" s="42">
        <f t="shared" ref="Q61:Q69" si="24">O61*$Q$8</f>
        <v>654.3125</v>
      </c>
      <c r="R61" s="42">
        <f t="shared" ref="R61:R69" si="25">+Q61*N61</f>
        <v>3925875</v>
      </c>
      <c r="S61" s="43">
        <f t="shared" ref="S61:S69" si="26">O61+Q61</f>
        <v>2031.8125</v>
      </c>
      <c r="T61" s="43">
        <f t="shared" ref="T61:T69" si="27">+S61*N61</f>
        <v>12190875</v>
      </c>
    </row>
    <row r="62" spans="1:20" ht="29" x14ac:dyDescent="0.35">
      <c r="A62" s="26" t="s">
        <v>1393</v>
      </c>
      <c r="B62" s="3" t="s">
        <v>1140</v>
      </c>
      <c r="C62" s="26" t="s">
        <v>1206</v>
      </c>
      <c r="D62" s="26" t="s">
        <v>1429</v>
      </c>
      <c r="E62" s="26" t="s">
        <v>1434</v>
      </c>
      <c r="F62" s="26"/>
      <c r="G62" s="26"/>
      <c r="H62" s="26"/>
      <c r="I62" s="41" t="s">
        <v>1198</v>
      </c>
      <c r="J62" s="42">
        <v>3000</v>
      </c>
      <c r="K62" s="3" t="s">
        <v>10</v>
      </c>
      <c r="L62" s="42">
        <f>+'QTO-Finishes'!U63</f>
        <v>3000</v>
      </c>
      <c r="M62" s="42">
        <f t="shared" si="21"/>
        <v>0</v>
      </c>
      <c r="N62" s="42">
        <f t="shared" si="22"/>
        <v>3000</v>
      </c>
      <c r="O62" s="42">
        <f>VLOOKUP(A62,'Rate Analysis'!A:R,16,0)</f>
        <v>1377.5</v>
      </c>
      <c r="P62" s="42">
        <f t="shared" si="23"/>
        <v>4132500</v>
      </c>
      <c r="Q62" s="42">
        <f t="shared" si="24"/>
        <v>654.3125</v>
      </c>
      <c r="R62" s="42">
        <f t="shared" si="25"/>
        <v>1962937.5</v>
      </c>
      <c r="S62" s="43">
        <f t="shared" si="26"/>
        <v>2031.8125</v>
      </c>
      <c r="T62" s="43">
        <f t="shared" si="27"/>
        <v>6095437.5</v>
      </c>
    </row>
    <row r="63" spans="1:20" ht="29" x14ac:dyDescent="0.35">
      <c r="A63" s="26" t="s">
        <v>1394</v>
      </c>
      <c r="B63" s="3" t="s">
        <v>1141</v>
      </c>
      <c r="C63" s="26" t="s">
        <v>1206</v>
      </c>
      <c r="D63" s="26" t="s">
        <v>1429</v>
      </c>
      <c r="E63" s="26" t="s">
        <v>1434</v>
      </c>
      <c r="F63" s="26"/>
      <c r="G63" s="26"/>
      <c r="H63" s="26"/>
      <c r="I63" s="41" t="s">
        <v>1199</v>
      </c>
      <c r="J63" s="42">
        <v>1500</v>
      </c>
      <c r="K63" s="3" t="s">
        <v>10</v>
      </c>
      <c r="L63" s="42">
        <f>+'QTO-Finishes'!V63</f>
        <v>1500</v>
      </c>
      <c r="M63" s="42">
        <f t="shared" si="21"/>
        <v>0</v>
      </c>
      <c r="N63" s="42">
        <f t="shared" si="22"/>
        <v>1500</v>
      </c>
      <c r="O63" s="42">
        <f>VLOOKUP(A63,'Rate Analysis'!A:R,16,0)</f>
        <v>1377.5</v>
      </c>
      <c r="P63" s="42">
        <f t="shared" si="23"/>
        <v>2066250</v>
      </c>
      <c r="Q63" s="42">
        <f t="shared" si="24"/>
        <v>654.3125</v>
      </c>
      <c r="R63" s="42">
        <f t="shared" si="25"/>
        <v>981468.75</v>
      </c>
      <c r="S63" s="43">
        <f t="shared" si="26"/>
        <v>2031.8125</v>
      </c>
      <c r="T63" s="43">
        <f t="shared" si="27"/>
        <v>3047718.75</v>
      </c>
    </row>
    <row r="64" spans="1:20" ht="29" x14ac:dyDescent="0.35">
      <c r="A64" s="26" t="s">
        <v>1395</v>
      </c>
      <c r="B64" s="3" t="s">
        <v>1142</v>
      </c>
      <c r="C64" s="26" t="s">
        <v>1206</v>
      </c>
      <c r="D64" s="26" t="s">
        <v>1429</v>
      </c>
      <c r="E64" s="26" t="s">
        <v>1434</v>
      </c>
      <c r="F64" s="26"/>
      <c r="G64" s="26"/>
      <c r="H64" s="26"/>
      <c r="I64" s="41" t="s">
        <v>1212</v>
      </c>
      <c r="J64" s="42">
        <v>75</v>
      </c>
      <c r="K64" s="3" t="s">
        <v>10</v>
      </c>
      <c r="L64" s="42">
        <f>+'QTO-Finishes'!W63</f>
        <v>75</v>
      </c>
      <c r="M64" s="42">
        <f t="shared" si="21"/>
        <v>0</v>
      </c>
      <c r="N64" s="42">
        <f t="shared" si="22"/>
        <v>75</v>
      </c>
      <c r="O64" s="42">
        <f>VLOOKUP(A64,'Rate Analysis'!A:R,16,0)</f>
        <v>3667.5</v>
      </c>
      <c r="P64" s="42">
        <f t="shared" si="23"/>
        <v>275062.5</v>
      </c>
      <c r="Q64" s="42">
        <f t="shared" si="24"/>
        <v>1742.0625000000002</v>
      </c>
      <c r="R64" s="42">
        <f t="shared" si="25"/>
        <v>130654.68750000001</v>
      </c>
      <c r="S64" s="43">
        <f t="shared" si="26"/>
        <v>5409.5625</v>
      </c>
      <c r="T64" s="43">
        <f t="shared" si="27"/>
        <v>405717.1875</v>
      </c>
    </row>
    <row r="65" spans="1:20" ht="29" x14ac:dyDescent="0.35">
      <c r="A65" s="26" t="s">
        <v>1396</v>
      </c>
      <c r="B65" s="3" t="s">
        <v>1139</v>
      </c>
      <c r="C65" s="26" t="s">
        <v>1206</v>
      </c>
      <c r="D65" s="26" t="s">
        <v>1429</v>
      </c>
      <c r="E65" s="26" t="s">
        <v>1434</v>
      </c>
      <c r="F65" s="26"/>
      <c r="G65" s="26"/>
      <c r="H65" s="26"/>
      <c r="I65" s="41" t="s">
        <v>1213</v>
      </c>
      <c r="J65" s="42">
        <v>18</v>
      </c>
      <c r="K65" s="3" t="s">
        <v>10</v>
      </c>
      <c r="L65" s="42">
        <f>+'QTO-Finishes'!X63</f>
        <v>18</v>
      </c>
      <c r="M65" s="42">
        <f t="shared" si="21"/>
        <v>0</v>
      </c>
      <c r="N65" s="42">
        <f t="shared" si="22"/>
        <v>18</v>
      </c>
      <c r="O65" s="42">
        <f>VLOOKUP(A65,'Rate Analysis'!A:R,16,0)</f>
        <v>3667.5</v>
      </c>
      <c r="P65" s="42">
        <f t="shared" si="23"/>
        <v>66015</v>
      </c>
      <c r="Q65" s="42">
        <f t="shared" si="24"/>
        <v>1742.0625000000002</v>
      </c>
      <c r="R65" s="42">
        <f t="shared" si="25"/>
        <v>31357.125000000004</v>
      </c>
      <c r="S65" s="43">
        <f t="shared" si="26"/>
        <v>5409.5625</v>
      </c>
      <c r="T65" s="43">
        <f t="shared" si="27"/>
        <v>97372.125</v>
      </c>
    </row>
    <row r="66" spans="1:20" ht="29" x14ac:dyDescent="0.35">
      <c r="A66" s="26" t="s">
        <v>1397</v>
      </c>
      <c r="B66" s="3" t="s">
        <v>1143</v>
      </c>
      <c r="C66" s="26" t="s">
        <v>1206</v>
      </c>
      <c r="D66" s="26" t="s">
        <v>235</v>
      </c>
      <c r="E66" s="26" t="s">
        <v>1310</v>
      </c>
      <c r="F66" s="26"/>
      <c r="G66" s="26"/>
      <c r="H66" s="26"/>
      <c r="I66" s="41" t="s">
        <v>1214</v>
      </c>
      <c r="J66" s="42">
        <v>1500</v>
      </c>
      <c r="K66" s="3" t="s">
        <v>10</v>
      </c>
      <c r="L66" s="42">
        <f>+'QTO-Finishes'!Y63</f>
        <v>1500</v>
      </c>
      <c r="M66" s="42">
        <f t="shared" si="21"/>
        <v>0</v>
      </c>
      <c r="N66" s="42">
        <f t="shared" si="22"/>
        <v>1500</v>
      </c>
      <c r="O66" s="42">
        <f>VLOOKUP(A66,'Rate Analysis'!A:R,16,0)</f>
        <v>125</v>
      </c>
      <c r="P66" s="42">
        <f t="shared" si="23"/>
        <v>187500</v>
      </c>
      <c r="Q66" s="42">
        <f t="shared" si="24"/>
        <v>59.375000000000007</v>
      </c>
      <c r="R66" s="42">
        <f t="shared" si="25"/>
        <v>89062.500000000015</v>
      </c>
      <c r="S66" s="43">
        <f t="shared" si="26"/>
        <v>184.375</v>
      </c>
      <c r="T66" s="43">
        <f t="shared" si="27"/>
        <v>276562.5</v>
      </c>
    </row>
    <row r="67" spans="1:20" ht="29" x14ac:dyDescent="0.35">
      <c r="A67" s="26" t="s">
        <v>1398</v>
      </c>
      <c r="B67" s="3" t="s">
        <v>1144</v>
      </c>
      <c r="C67" s="26" t="s">
        <v>1206</v>
      </c>
      <c r="D67" s="26" t="s">
        <v>235</v>
      </c>
      <c r="E67" s="26" t="s">
        <v>1435</v>
      </c>
      <c r="F67" s="26"/>
      <c r="G67" s="26"/>
      <c r="H67" s="26"/>
      <c r="I67" s="41" t="s">
        <v>1215</v>
      </c>
      <c r="J67" s="42">
        <v>3720</v>
      </c>
      <c r="K67" s="3" t="s">
        <v>10</v>
      </c>
      <c r="L67" s="42">
        <f>+'QTO-Finishes'!Z63</f>
        <v>3720</v>
      </c>
      <c r="M67" s="42">
        <f t="shared" si="21"/>
        <v>0</v>
      </c>
      <c r="N67" s="42">
        <f t="shared" si="22"/>
        <v>3720</v>
      </c>
      <c r="O67" s="42">
        <f>VLOOKUP(A67,'Rate Analysis'!A:R,16,0)</f>
        <v>45</v>
      </c>
      <c r="P67" s="42">
        <f t="shared" si="23"/>
        <v>167400</v>
      </c>
      <c r="Q67" s="42">
        <f t="shared" si="24"/>
        <v>21.375</v>
      </c>
      <c r="R67" s="42">
        <f t="shared" si="25"/>
        <v>79515</v>
      </c>
      <c r="S67" s="43">
        <f t="shared" si="26"/>
        <v>66.375</v>
      </c>
      <c r="T67" s="43">
        <f t="shared" si="27"/>
        <v>246915</v>
      </c>
    </row>
    <row r="68" spans="1:20" ht="29" x14ac:dyDescent="0.35">
      <c r="A68" s="26" t="s">
        <v>1399</v>
      </c>
      <c r="B68" s="3" t="s">
        <v>1145</v>
      </c>
      <c r="C68" s="26" t="s">
        <v>1206</v>
      </c>
      <c r="D68" s="26" t="s">
        <v>144</v>
      </c>
      <c r="E68" s="26" t="s">
        <v>1435</v>
      </c>
      <c r="F68" s="26"/>
      <c r="G68" s="26"/>
      <c r="H68" s="26"/>
      <c r="I68" s="41" t="s">
        <v>1216</v>
      </c>
      <c r="J68" s="42">
        <v>1560</v>
      </c>
      <c r="K68" s="3" t="s">
        <v>10</v>
      </c>
      <c r="L68" s="42">
        <f>+'QTO-Finishes'!AA63</f>
        <v>1560</v>
      </c>
      <c r="M68" s="42">
        <f t="shared" si="21"/>
        <v>0</v>
      </c>
      <c r="N68" s="42">
        <f t="shared" si="22"/>
        <v>1560</v>
      </c>
      <c r="O68" s="42">
        <f>VLOOKUP(A68,'Rate Analysis'!A:R,16,0)</f>
        <v>45</v>
      </c>
      <c r="P68" s="42">
        <f t="shared" si="23"/>
        <v>70200</v>
      </c>
      <c r="Q68" s="42">
        <f t="shared" si="24"/>
        <v>21.375</v>
      </c>
      <c r="R68" s="42">
        <f t="shared" si="25"/>
        <v>33345</v>
      </c>
      <c r="S68" s="43">
        <f t="shared" si="26"/>
        <v>66.375</v>
      </c>
      <c r="T68" s="43">
        <f t="shared" si="27"/>
        <v>103545</v>
      </c>
    </row>
    <row r="69" spans="1:20" ht="29" x14ac:dyDescent="0.35">
      <c r="A69" s="26" t="s">
        <v>1400</v>
      </c>
      <c r="B69" s="3" t="s">
        <v>1136</v>
      </c>
      <c r="C69" s="26" t="s">
        <v>1206</v>
      </c>
      <c r="D69" s="26" t="s">
        <v>235</v>
      </c>
      <c r="E69" s="26" t="s">
        <v>1435</v>
      </c>
      <c r="F69" s="26"/>
      <c r="G69" s="26"/>
      <c r="H69" s="26"/>
      <c r="I69" s="41" t="s">
        <v>1217</v>
      </c>
      <c r="J69" s="42">
        <v>1000</v>
      </c>
      <c r="K69" s="3" t="s">
        <v>10</v>
      </c>
      <c r="L69" s="42">
        <f>+'QTO-Finishes'!AB63</f>
        <v>900</v>
      </c>
      <c r="M69" s="42">
        <f t="shared" si="21"/>
        <v>-100</v>
      </c>
      <c r="N69" s="42">
        <f t="shared" si="22"/>
        <v>900</v>
      </c>
      <c r="O69" s="42">
        <f>VLOOKUP(A69,'Rate Analysis'!A:R,16,0)</f>
        <v>25</v>
      </c>
      <c r="P69" s="42">
        <f t="shared" si="23"/>
        <v>22500</v>
      </c>
      <c r="Q69" s="42">
        <f t="shared" si="24"/>
        <v>11.875</v>
      </c>
      <c r="R69" s="42">
        <f t="shared" si="25"/>
        <v>10687.5</v>
      </c>
      <c r="S69" s="43">
        <f t="shared" si="26"/>
        <v>36.875</v>
      </c>
      <c r="T69" s="43">
        <f t="shared" si="27"/>
        <v>33187.5</v>
      </c>
    </row>
    <row r="70" spans="1:20" x14ac:dyDescent="0.35">
      <c r="A70" s="24"/>
      <c r="B70" s="5"/>
      <c r="C70" s="24"/>
      <c r="D70" s="24"/>
      <c r="E70" s="24"/>
      <c r="F70" s="24"/>
      <c r="G70" s="24"/>
      <c r="H70" s="24"/>
      <c r="I70" s="44"/>
      <c r="J70" s="16"/>
      <c r="K70" s="5"/>
      <c r="L70" s="16"/>
      <c r="M70" s="16"/>
      <c r="N70" s="16"/>
      <c r="O70" s="16"/>
      <c r="P70" s="16"/>
      <c r="Q70" s="16"/>
      <c r="R70" s="16"/>
      <c r="S70" s="40"/>
      <c r="T70" s="40"/>
    </row>
    <row r="71" spans="1:20" x14ac:dyDescent="0.35">
      <c r="A71" s="24">
        <v>5</v>
      </c>
      <c r="B71" s="5">
        <v>5</v>
      </c>
      <c r="C71" s="24"/>
      <c r="D71" s="24"/>
      <c r="E71" s="24"/>
      <c r="F71" s="24"/>
      <c r="G71" s="24"/>
      <c r="H71" s="24"/>
      <c r="I71" s="7" t="s">
        <v>1223</v>
      </c>
      <c r="J71" s="16"/>
      <c r="K71" s="5"/>
      <c r="L71" s="16"/>
      <c r="M71" s="16"/>
      <c r="N71" s="16"/>
      <c r="O71" s="16"/>
      <c r="P71" s="16"/>
      <c r="Q71" s="16"/>
      <c r="R71" s="16"/>
      <c r="S71" s="40"/>
      <c r="T71" s="40"/>
    </row>
    <row r="72" spans="1:20" ht="29" x14ac:dyDescent="0.35">
      <c r="A72" s="26" t="s">
        <v>1401</v>
      </c>
      <c r="B72" s="3" t="s">
        <v>1135</v>
      </c>
      <c r="C72" s="26" t="s">
        <v>1223</v>
      </c>
      <c r="D72" s="26" t="s">
        <v>235</v>
      </c>
      <c r="E72" s="26" t="s">
        <v>1305</v>
      </c>
      <c r="F72" s="26" t="s">
        <v>1276</v>
      </c>
      <c r="G72" s="26" t="s">
        <v>1445</v>
      </c>
      <c r="H72" s="26" t="s">
        <v>1447</v>
      </c>
      <c r="I72" s="41" t="s">
        <v>1224</v>
      </c>
      <c r="J72" s="42">
        <v>20</v>
      </c>
      <c r="K72" s="3" t="s">
        <v>1200</v>
      </c>
      <c r="L72" s="42">
        <f>+'QTO-Joineries'!S15</f>
        <v>20</v>
      </c>
      <c r="M72" s="42">
        <f t="shared" ref="M72:M82" si="28">L72-J72</f>
        <v>0</v>
      </c>
      <c r="N72" s="42">
        <f t="shared" ref="N72:N82" si="29">L72</f>
        <v>20</v>
      </c>
      <c r="O72" s="42">
        <f>VLOOKUP(A72,'Rate Analysis'!A:R,16,0)</f>
        <v>5551.2777777777774</v>
      </c>
      <c r="P72" s="42">
        <f t="shared" ref="P72:P82" si="30">+O72*N72</f>
        <v>111025.55555555555</v>
      </c>
      <c r="Q72" s="42">
        <f t="shared" ref="Q72:Q82" si="31">O72*$Q$8</f>
        <v>2636.8569444444443</v>
      </c>
      <c r="R72" s="42">
        <f t="shared" ref="R72:R82" si="32">+Q72*N72</f>
        <v>52737.138888888883</v>
      </c>
      <c r="S72" s="43">
        <f t="shared" ref="S72:S82" si="33">O72+Q72</f>
        <v>8188.1347222222212</v>
      </c>
      <c r="T72" s="43">
        <f t="shared" ref="T72:T82" si="34">+S72*N72</f>
        <v>163762.69444444444</v>
      </c>
    </row>
    <row r="73" spans="1:20" ht="29" x14ac:dyDescent="0.35">
      <c r="A73" s="26" t="s">
        <v>1402</v>
      </c>
      <c r="B73" s="3" t="s">
        <v>1140</v>
      </c>
      <c r="C73" s="26" t="s">
        <v>1223</v>
      </c>
      <c r="D73" s="26" t="s">
        <v>235</v>
      </c>
      <c r="E73" s="26" t="s">
        <v>1305</v>
      </c>
      <c r="F73" s="26" t="s">
        <v>1276</v>
      </c>
      <c r="G73" s="26" t="s">
        <v>1445</v>
      </c>
      <c r="H73" s="26" t="s">
        <v>1448</v>
      </c>
      <c r="I73" s="41" t="s">
        <v>1225</v>
      </c>
      <c r="J73" s="42">
        <v>10</v>
      </c>
      <c r="K73" s="3" t="s">
        <v>1200</v>
      </c>
      <c r="L73" s="42">
        <f>+'QTO-Joineries'!T15</f>
        <v>20</v>
      </c>
      <c r="M73" s="42">
        <f t="shared" si="28"/>
        <v>10</v>
      </c>
      <c r="N73" s="42">
        <f t="shared" si="29"/>
        <v>20</v>
      </c>
      <c r="O73" s="42">
        <f>VLOOKUP(A73,'Rate Analysis'!A:R,16,0)</f>
        <v>8475.5555555555547</v>
      </c>
      <c r="P73" s="42">
        <f t="shared" si="30"/>
        <v>169511.11111111109</v>
      </c>
      <c r="Q73" s="42">
        <f t="shared" si="31"/>
        <v>4025.8888888888887</v>
      </c>
      <c r="R73" s="42">
        <f t="shared" si="32"/>
        <v>80517.777777777781</v>
      </c>
      <c r="S73" s="43">
        <f t="shared" si="33"/>
        <v>12501.444444444443</v>
      </c>
      <c r="T73" s="43">
        <f t="shared" si="34"/>
        <v>250028.88888888888</v>
      </c>
    </row>
    <row r="74" spans="1:20" ht="29" x14ac:dyDescent="0.35">
      <c r="A74" s="26" t="s">
        <v>1403</v>
      </c>
      <c r="B74" s="3" t="s">
        <v>1141</v>
      </c>
      <c r="C74" s="26" t="s">
        <v>1223</v>
      </c>
      <c r="D74" s="26" t="s">
        <v>235</v>
      </c>
      <c r="E74" s="26" t="s">
        <v>1305</v>
      </c>
      <c r="F74" s="26" t="s">
        <v>1276</v>
      </c>
      <c r="G74" s="26" t="s">
        <v>1445</v>
      </c>
      <c r="H74" s="26" t="s">
        <v>1448</v>
      </c>
      <c r="I74" s="41" t="s">
        <v>1226</v>
      </c>
      <c r="J74" s="42">
        <v>10</v>
      </c>
      <c r="K74" s="3" t="s">
        <v>1200</v>
      </c>
      <c r="L74" s="42">
        <f>+'QTO-Joineries'!U15</f>
        <v>5</v>
      </c>
      <c r="M74" s="42">
        <f t="shared" si="28"/>
        <v>-5</v>
      </c>
      <c r="N74" s="42">
        <f t="shared" si="29"/>
        <v>5</v>
      </c>
      <c r="O74" s="42">
        <f>VLOOKUP(A74,'Rate Analysis'!A:R,16,0)</f>
        <v>9028.1111111111113</v>
      </c>
      <c r="P74" s="42">
        <f t="shared" si="30"/>
        <v>45140.555555555555</v>
      </c>
      <c r="Q74" s="42">
        <f t="shared" si="31"/>
        <v>4288.3527777777781</v>
      </c>
      <c r="R74" s="42">
        <f t="shared" si="32"/>
        <v>21441.763888888891</v>
      </c>
      <c r="S74" s="43">
        <f t="shared" si="33"/>
        <v>13316.463888888889</v>
      </c>
      <c r="T74" s="43">
        <f t="shared" si="34"/>
        <v>66582.319444444453</v>
      </c>
    </row>
    <row r="75" spans="1:20" ht="29" x14ac:dyDescent="0.35">
      <c r="A75" s="26" t="s">
        <v>1404</v>
      </c>
      <c r="B75" s="3" t="s">
        <v>1142</v>
      </c>
      <c r="C75" s="26" t="s">
        <v>1223</v>
      </c>
      <c r="D75" s="26" t="s">
        <v>235</v>
      </c>
      <c r="E75" s="26" t="s">
        <v>1305</v>
      </c>
      <c r="F75" s="26" t="s">
        <v>1276</v>
      </c>
      <c r="G75" s="26" t="s">
        <v>1446</v>
      </c>
      <c r="H75" s="26" t="s">
        <v>1447</v>
      </c>
      <c r="I75" s="41" t="s">
        <v>1227</v>
      </c>
      <c r="J75" s="42">
        <v>5</v>
      </c>
      <c r="K75" s="3" t="s">
        <v>1200</v>
      </c>
      <c r="L75" s="42">
        <f>+'QTO-Joineries'!V15</f>
        <v>5</v>
      </c>
      <c r="M75" s="42">
        <f t="shared" si="28"/>
        <v>0</v>
      </c>
      <c r="N75" s="42">
        <f t="shared" si="29"/>
        <v>5</v>
      </c>
      <c r="O75" s="42">
        <f>VLOOKUP(A75,'Rate Analysis'!A:R,16,0)</f>
        <v>5838.7777777777774</v>
      </c>
      <c r="P75" s="42">
        <f t="shared" si="30"/>
        <v>29193.888888888887</v>
      </c>
      <c r="Q75" s="42">
        <f t="shared" si="31"/>
        <v>2773.4194444444443</v>
      </c>
      <c r="R75" s="42">
        <f t="shared" si="32"/>
        <v>13867.097222222221</v>
      </c>
      <c r="S75" s="43">
        <f t="shared" si="33"/>
        <v>8612.1972222222212</v>
      </c>
      <c r="T75" s="43">
        <f t="shared" si="34"/>
        <v>43060.986111111109</v>
      </c>
    </row>
    <row r="76" spans="1:20" ht="29" x14ac:dyDescent="0.35">
      <c r="A76" s="26" t="s">
        <v>1405</v>
      </c>
      <c r="B76" s="3" t="s">
        <v>1139</v>
      </c>
      <c r="C76" s="26" t="s">
        <v>1223</v>
      </c>
      <c r="D76" s="26" t="s">
        <v>235</v>
      </c>
      <c r="E76" s="26" t="s">
        <v>1305</v>
      </c>
      <c r="F76" s="26" t="s">
        <v>1276</v>
      </c>
      <c r="G76" s="26" t="s">
        <v>1446</v>
      </c>
      <c r="H76" s="26" t="s">
        <v>1447</v>
      </c>
      <c r="I76" s="41" t="s">
        <v>1228</v>
      </c>
      <c r="J76" s="42">
        <v>10</v>
      </c>
      <c r="K76" s="3" t="s">
        <v>1200</v>
      </c>
      <c r="L76" s="42">
        <f>+'QTO-Joineries'!W15</f>
        <v>10</v>
      </c>
      <c r="M76" s="42">
        <f t="shared" si="28"/>
        <v>0</v>
      </c>
      <c r="N76" s="42">
        <f t="shared" si="29"/>
        <v>10</v>
      </c>
      <c r="O76" s="42">
        <f>VLOOKUP(A76,'Rate Analysis'!A:R,16,0)</f>
        <v>5343.7777777777774</v>
      </c>
      <c r="P76" s="42">
        <f t="shared" si="30"/>
        <v>53437.777777777774</v>
      </c>
      <c r="Q76" s="42">
        <f t="shared" si="31"/>
        <v>2538.2944444444443</v>
      </c>
      <c r="R76" s="42">
        <f t="shared" si="32"/>
        <v>25382.944444444442</v>
      </c>
      <c r="S76" s="43">
        <f t="shared" si="33"/>
        <v>7882.0722222222212</v>
      </c>
      <c r="T76" s="43">
        <f t="shared" si="34"/>
        <v>78820.722222222219</v>
      </c>
    </row>
    <row r="77" spans="1:20" ht="29" x14ac:dyDescent="0.35">
      <c r="A77" s="26" t="s">
        <v>1406</v>
      </c>
      <c r="B77" s="3" t="s">
        <v>1143</v>
      </c>
      <c r="C77" s="26" t="s">
        <v>1223</v>
      </c>
      <c r="D77" s="26" t="s">
        <v>235</v>
      </c>
      <c r="E77" s="26" t="s">
        <v>1305</v>
      </c>
      <c r="F77" s="26" t="s">
        <v>1438</v>
      </c>
      <c r="G77" s="26"/>
      <c r="H77" s="26"/>
      <c r="I77" s="41" t="s">
        <v>1252</v>
      </c>
      <c r="J77" s="42">
        <v>160</v>
      </c>
      <c r="K77" s="3" t="s">
        <v>10</v>
      </c>
      <c r="L77" s="42">
        <f>+'QTO-Finishes'!AC63</f>
        <v>160</v>
      </c>
      <c r="M77" s="42">
        <f t="shared" si="28"/>
        <v>0</v>
      </c>
      <c r="N77" s="42">
        <f t="shared" si="29"/>
        <v>160</v>
      </c>
      <c r="O77" s="42">
        <f>VLOOKUP(A77,'Rate Analysis'!A:R,16,0)</f>
        <v>2221.770833333333</v>
      </c>
      <c r="P77" s="42">
        <f t="shared" si="30"/>
        <v>355483.33333333326</v>
      </c>
      <c r="Q77" s="42">
        <f t="shared" si="31"/>
        <v>1055.3411458333333</v>
      </c>
      <c r="R77" s="42">
        <f t="shared" si="32"/>
        <v>168854.58333333331</v>
      </c>
      <c r="S77" s="43">
        <f t="shared" si="33"/>
        <v>3277.1119791666661</v>
      </c>
      <c r="T77" s="43">
        <f t="shared" si="34"/>
        <v>524337.91666666651</v>
      </c>
    </row>
    <row r="78" spans="1:20" ht="29" x14ac:dyDescent="0.35">
      <c r="A78" s="26" t="s">
        <v>1407</v>
      </c>
      <c r="B78" s="3" t="s">
        <v>1144</v>
      </c>
      <c r="C78" s="26" t="s">
        <v>1223</v>
      </c>
      <c r="D78" s="26" t="s">
        <v>235</v>
      </c>
      <c r="E78" s="26" t="s">
        <v>1305</v>
      </c>
      <c r="F78" s="26" t="s">
        <v>1438</v>
      </c>
      <c r="G78" s="26"/>
      <c r="H78" s="26"/>
      <c r="I78" s="41" t="s">
        <v>1253</v>
      </c>
      <c r="J78" s="42">
        <v>80</v>
      </c>
      <c r="K78" s="3" t="s">
        <v>10</v>
      </c>
      <c r="L78" s="42">
        <f>+'QTO-Finishes'!AD63</f>
        <v>80</v>
      </c>
      <c r="M78" s="42">
        <f t="shared" si="28"/>
        <v>0</v>
      </c>
      <c r="N78" s="42">
        <f t="shared" si="29"/>
        <v>80</v>
      </c>
      <c r="O78" s="42">
        <f>VLOOKUP(A78,'Rate Analysis'!A:R,16,0)</f>
        <v>3367.541666666667</v>
      </c>
      <c r="P78" s="42">
        <f t="shared" si="30"/>
        <v>269403.33333333337</v>
      </c>
      <c r="Q78" s="42">
        <f t="shared" si="31"/>
        <v>1599.5822916666668</v>
      </c>
      <c r="R78" s="42">
        <f t="shared" si="32"/>
        <v>127966.58333333334</v>
      </c>
      <c r="S78" s="43">
        <f t="shared" si="33"/>
        <v>4967.1239583333336</v>
      </c>
      <c r="T78" s="43">
        <f t="shared" si="34"/>
        <v>397369.91666666669</v>
      </c>
    </row>
    <row r="79" spans="1:20" ht="29" x14ac:dyDescent="0.35">
      <c r="A79" s="26" t="s">
        <v>1408</v>
      </c>
      <c r="B79" s="3" t="s">
        <v>1145</v>
      </c>
      <c r="C79" s="26" t="s">
        <v>1223</v>
      </c>
      <c r="D79" s="26" t="s">
        <v>235</v>
      </c>
      <c r="E79" s="26" t="s">
        <v>1305</v>
      </c>
      <c r="F79" s="26" t="s">
        <v>1439</v>
      </c>
      <c r="G79" s="26"/>
      <c r="H79" s="26"/>
      <c r="I79" s="41" t="s">
        <v>1230</v>
      </c>
      <c r="J79" s="42">
        <v>300</v>
      </c>
      <c r="K79" s="3" t="s">
        <v>1200</v>
      </c>
      <c r="L79" s="42">
        <f>+'QTO-Finishes'!AE63</f>
        <v>300</v>
      </c>
      <c r="M79" s="42">
        <f t="shared" si="28"/>
        <v>0</v>
      </c>
      <c r="N79" s="42">
        <f t="shared" si="29"/>
        <v>300</v>
      </c>
      <c r="O79" s="42">
        <f>VLOOKUP(A79,'Rate Analysis'!A:R,16,0)</f>
        <v>11058.576388888889</v>
      </c>
      <c r="P79" s="42">
        <f t="shared" si="30"/>
        <v>3317572.9166666665</v>
      </c>
      <c r="Q79" s="42">
        <f t="shared" si="31"/>
        <v>5252.8237847222226</v>
      </c>
      <c r="R79" s="42">
        <f t="shared" si="32"/>
        <v>1575847.1354166667</v>
      </c>
      <c r="S79" s="43">
        <f t="shared" si="33"/>
        <v>16311.400173611111</v>
      </c>
      <c r="T79" s="43">
        <f t="shared" si="34"/>
        <v>4893420.052083333</v>
      </c>
    </row>
    <row r="80" spans="1:20" ht="29" x14ac:dyDescent="0.35">
      <c r="A80" s="26" t="s">
        <v>1409</v>
      </c>
      <c r="B80" s="3" t="s">
        <v>1136</v>
      </c>
      <c r="C80" s="26" t="s">
        <v>1223</v>
      </c>
      <c r="D80" s="26" t="s">
        <v>235</v>
      </c>
      <c r="E80" s="26" t="s">
        <v>1305</v>
      </c>
      <c r="F80" s="26" t="s">
        <v>1440</v>
      </c>
      <c r="G80" s="26"/>
      <c r="H80" s="26"/>
      <c r="I80" s="41" t="s">
        <v>1231</v>
      </c>
      <c r="J80" s="42">
        <v>15</v>
      </c>
      <c r="K80" s="3" t="s">
        <v>1200</v>
      </c>
      <c r="L80" s="42">
        <f>+'QTO-Joineries'!X15</f>
        <v>15</v>
      </c>
      <c r="M80" s="42">
        <f t="shared" si="28"/>
        <v>0</v>
      </c>
      <c r="N80" s="42">
        <f t="shared" si="29"/>
        <v>15</v>
      </c>
      <c r="O80" s="42">
        <f>VLOOKUP(A80,'Rate Analysis'!A:R,16,0)</f>
        <v>10183.430555555555</v>
      </c>
      <c r="P80" s="42">
        <f t="shared" si="30"/>
        <v>152751.45833333331</v>
      </c>
      <c r="Q80" s="42">
        <f t="shared" si="31"/>
        <v>4837.1295138888891</v>
      </c>
      <c r="R80" s="42">
        <f t="shared" si="32"/>
        <v>72556.942708333343</v>
      </c>
      <c r="S80" s="43">
        <f t="shared" si="33"/>
        <v>15020.560069444444</v>
      </c>
      <c r="T80" s="43">
        <f t="shared" si="34"/>
        <v>225308.40104166666</v>
      </c>
    </row>
    <row r="81" spans="1:20" ht="29" x14ac:dyDescent="0.35">
      <c r="A81" s="26" t="s">
        <v>1410</v>
      </c>
      <c r="B81" s="3" t="s">
        <v>1170</v>
      </c>
      <c r="C81" s="26" t="s">
        <v>1223</v>
      </c>
      <c r="D81" s="26" t="s">
        <v>235</v>
      </c>
      <c r="E81" s="26" t="s">
        <v>1305</v>
      </c>
      <c r="F81" s="26" t="s">
        <v>1440</v>
      </c>
      <c r="G81" s="26"/>
      <c r="H81" s="26"/>
      <c r="I81" s="41" t="s">
        <v>1232</v>
      </c>
      <c r="J81" s="42">
        <v>10</v>
      </c>
      <c r="K81" s="3" t="s">
        <v>1200</v>
      </c>
      <c r="L81" s="42">
        <f>+'QTO-Joineries'!Y15</f>
        <v>15</v>
      </c>
      <c r="M81" s="42">
        <f t="shared" si="28"/>
        <v>5</v>
      </c>
      <c r="N81" s="42">
        <f t="shared" si="29"/>
        <v>15</v>
      </c>
      <c r="O81" s="42">
        <f>VLOOKUP(A81,'Rate Analysis'!A:R,16,0)</f>
        <v>12874.288194444445</v>
      </c>
      <c r="P81" s="42">
        <f t="shared" si="30"/>
        <v>193114.32291666669</v>
      </c>
      <c r="Q81" s="42">
        <f t="shared" si="31"/>
        <v>6115.2868923611122</v>
      </c>
      <c r="R81" s="42">
        <f t="shared" si="32"/>
        <v>91729.303385416686</v>
      </c>
      <c r="S81" s="43">
        <f t="shared" si="33"/>
        <v>18989.575086805558</v>
      </c>
      <c r="T81" s="43">
        <f t="shared" si="34"/>
        <v>284843.62630208337</v>
      </c>
    </row>
    <row r="82" spans="1:20" ht="29" x14ac:dyDescent="0.35">
      <c r="A82" s="26" t="s">
        <v>1411</v>
      </c>
      <c r="B82" s="3" t="s">
        <v>1137</v>
      </c>
      <c r="C82" s="26" t="s">
        <v>1223</v>
      </c>
      <c r="D82" s="26" t="s">
        <v>235</v>
      </c>
      <c r="E82" s="26" t="s">
        <v>1305</v>
      </c>
      <c r="F82" s="26" t="s">
        <v>1441</v>
      </c>
      <c r="G82" s="26"/>
      <c r="H82" s="26"/>
      <c r="I82" s="41" t="s">
        <v>1254</v>
      </c>
      <c r="J82" s="42">
        <v>100</v>
      </c>
      <c r="K82" s="3" t="s">
        <v>1200</v>
      </c>
      <c r="L82" s="42">
        <v>100</v>
      </c>
      <c r="M82" s="42">
        <f t="shared" si="28"/>
        <v>0</v>
      </c>
      <c r="N82" s="42">
        <f t="shared" si="29"/>
        <v>100</v>
      </c>
      <c r="O82" s="42">
        <f>VLOOKUP(A82,'Rate Analysis'!A:R,16,0)</f>
        <v>25939.548611111109</v>
      </c>
      <c r="P82" s="42">
        <f t="shared" si="30"/>
        <v>2593954.861111111</v>
      </c>
      <c r="Q82" s="42">
        <f t="shared" si="31"/>
        <v>12321.285590277777</v>
      </c>
      <c r="R82" s="42">
        <f t="shared" si="32"/>
        <v>1232128.5590277778</v>
      </c>
      <c r="S82" s="43">
        <f t="shared" si="33"/>
        <v>38260.834201388891</v>
      </c>
      <c r="T82" s="43">
        <f t="shared" si="34"/>
        <v>3826083.420138889</v>
      </c>
    </row>
    <row r="83" spans="1:20" x14ac:dyDescent="0.35">
      <c r="A83" s="24"/>
      <c r="B83" s="5"/>
      <c r="C83" s="24"/>
      <c r="D83" s="24"/>
      <c r="E83" s="24"/>
      <c r="F83" s="24"/>
      <c r="G83" s="24"/>
      <c r="H83" s="24"/>
      <c r="I83" s="44"/>
      <c r="J83" s="16"/>
      <c r="K83" s="5"/>
      <c r="L83" s="16"/>
      <c r="M83" s="16"/>
      <c r="N83" s="16"/>
      <c r="O83" s="16"/>
      <c r="P83" s="16"/>
      <c r="Q83" s="16"/>
      <c r="R83" s="16"/>
      <c r="S83" s="40"/>
      <c r="T83" s="40"/>
    </row>
    <row r="84" spans="1:20" x14ac:dyDescent="0.35">
      <c r="A84" s="24">
        <v>6</v>
      </c>
      <c r="B84" s="5">
        <v>6</v>
      </c>
      <c r="C84" s="24"/>
      <c r="D84" s="24"/>
      <c r="E84" s="24"/>
      <c r="F84" s="24"/>
      <c r="G84" s="24"/>
      <c r="H84" s="24"/>
      <c r="I84" s="7" t="s">
        <v>1237</v>
      </c>
      <c r="J84" s="16"/>
      <c r="K84" s="5"/>
      <c r="L84" s="16"/>
      <c r="M84" s="16"/>
      <c r="N84" s="16"/>
      <c r="O84" s="16"/>
      <c r="P84" s="16"/>
      <c r="Q84" s="16"/>
      <c r="R84" s="16"/>
      <c r="S84" s="40"/>
      <c r="T84" s="40"/>
    </row>
    <row r="85" spans="1:20" ht="29" x14ac:dyDescent="0.35">
      <c r="A85" s="26" t="s">
        <v>1412</v>
      </c>
      <c r="B85" s="3" t="s">
        <v>1135</v>
      </c>
      <c r="C85" s="27" t="s">
        <v>1237</v>
      </c>
      <c r="D85" s="26" t="s">
        <v>235</v>
      </c>
      <c r="E85" s="26" t="s">
        <v>1436</v>
      </c>
      <c r="F85" s="26"/>
      <c r="G85" s="26"/>
      <c r="H85" s="26"/>
      <c r="I85" s="41" t="s">
        <v>1238</v>
      </c>
      <c r="J85" s="42">
        <v>1</v>
      </c>
      <c r="K85" s="3" t="s">
        <v>1147</v>
      </c>
      <c r="L85" s="42">
        <v>1</v>
      </c>
      <c r="M85" s="42">
        <f t="shared" ref="M85:M91" si="35">L85-J85</f>
        <v>0</v>
      </c>
      <c r="N85" s="42">
        <f t="shared" ref="N85:N91" si="36">L85</f>
        <v>1</v>
      </c>
      <c r="O85" s="42">
        <f>VLOOKUP(A85,'Rate Analysis'!A:R,16,0)</f>
        <v>100000</v>
      </c>
      <c r="P85" s="42">
        <f t="shared" ref="P85:P91" si="37">+O85*N85</f>
        <v>100000</v>
      </c>
      <c r="Q85" s="42">
        <f t="shared" ref="Q85:Q91" si="38">O85*$Q$8</f>
        <v>47500</v>
      </c>
      <c r="R85" s="42">
        <f t="shared" ref="R85:R91" si="39">+Q85*N85</f>
        <v>47500</v>
      </c>
      <c r="S85" s="43">
        <f t="shared" ref="S85:S91" si="40">O85+Q85</f>
        <v>147500</v>
      </c>
      <c r="T85" s="43">
        <f t="shared" ref="T85:T91" si="41">+S85*N85</f>
        <v>147500</v>
      </c>
    </row>
    <row r="86" spans="1:20" ht="29" x14ac:dyDescent="0.35">
      <c r="A86" s="26" t="s">
        <v>1413</v>
      </c>
      <c r="B86" s="3" t="s">
        <v>1140</v>
      </c>
      <c r="C86" s="27" t="s">
        <v>1237</v>
      </c>
      <c r="D86" s="26" t="s">
        <v>1092</v>
      </c>
      <c r="E86" s="26"/>
      <c r="F86" s="26"/>
      <c r="G86" s="26"/>
      <c r="H86" s="26"/>
      <c r="I86" s="41" t="s">
        <v>1239</v>
      </c>
      <c r="J86" s="42">
        <v>1</v>
      </c>
      <c r="K86" s="3" t="s">
        <v>1147</v>
      </c>
      <c r="L86" s="42">
        <v>1</v>
      </c>
      <c r="M86" s="42">
        <f t="shared" si="35"/>
        <v>0</v>
      </c>
      <c r="N86" s="42">
        <f t="shared" si="36"/>
        <v>1</v>
      </c>
      <c r="O86" s="42">
        <f>VLOOKUP(A86,'Rate Analysis'!A:R,16,0)</f>
        <v>100000</v>
      </c>
      <c r="P86" s="42">
        <f t="shared" si="37"/>
        <v>100000</v>
      </c>
      <c r="Q86" s="42">
        <f t="shared" si="38"/>
        <v>47500</v>
      </c>
      <c r="R86" s="42">
        <f t="shared" si="39"/>
        <v>47500</v>
      </c>
      <c r="S86" s="43">
        <f t="shared" si="40"/>
        <v>147500</v>
      </c>
      <c r="T86" s="43">
        <f t="shared" si="41"/>
        <v>147500</v>
      </c>
    </row>
    <row r="87" spans="1:20" ht="29" x14ac:dyDescent="0.35">
      <c r="A87" s="26" t="s">
        <v>1414</v>
      </c>
      <c r="B87" s="3" t="s">
        <v>1141</v>
      </c>
      <c r="C87" s="27" t="s">
        <v>1237</v>
      </c>
      <c r="D87" s="26" t="s">
        <v>1092</v>
      </c>
      <c r="E87" s="26"/>
      <c r="F87" s="26"/>
      <c r="G87" s="26"/>
      <c r="H87" s="26"/>
      <c r="I87" s="41" t="s">
        <v>1240</v>
      </c>
      <c r="J87" s="42">
        <v>1</v>
      </c>
      <c r="K87" s="3" t="s">
        <v>1147</v>
      </c>
      <c r="L87" s="42">
        <v>1</v>
      </c>
      <c r="M87" s="42">
        <f t="shared" si="35"/>
        <v>0</v>
      </c>
      <c r="N87" s="42">
        <f t="shared" si="36"/>
        <v>1</v>
      </c>
      <c r="O87" s="42">
        <f>VLOOKUP(A87,'Rate Analysis'!A:R,16,0)</f>
        <v>100000</v>
      </c>
      <c r="P87" s="42">
        <f t="shared" si="37"/>
        <v>100000</v>
      </c>
      <c r="Q87" s="42">
        <f t="shared" si="38"/>
        <v>47500</v>
      </c>
      <c r="R87" s="42">
        <f t="shared" si="39"/>
        <v>47500</v>
      </c>
      <c r="S87" s="43">
        <f t="shared" si="40"/>
        <v>147500</v>
      </c>
      <c r="T87" s="43">
        <f t="shared" si="41"/>
        <v>147500</v>
      </c>
    </row>
    <row r="88" spans="1:20" ht="29" x14ac:dyDescent="0.35">
      <c r="A88" s="26" t="s">
        <v>1415</v>
      </c>
      <c r="B88" s="3" t="s">
        <v>1142</v>
      </c>
      <c r="C88" s="27" t="s">
        <v>1237</v>
      </c>
      <c r="D88" s="26" t="s">
        <v>1092</v>
      </c>
      <c r="E88" s="26"/>
      <c r="F88" s="26"/>
      <c r="G88" s="26"/>
      <c r="H88" s="26"/>
      <c r="I88" s="41" t="s">
        <v>1241</v>
      </c>
      <c r="J88" s="42">
        <v>1</v>
      </c>
      <c r="K88" s="3" t="s">
        <v>1147</v>
      </c>
      <c r="L88" s="42">
        <v>1</v>
      </c>
      <c r="M88" s="42">
        <f t="shared" si="35"/>
        <v>0</v>
      </c>
      <c r="N88" s="42">
        <f t="shared" si="36"/>
        <v>1</v>
      </c>
      <c r="O88" s="42">
        <f>VLOOKUP(A88,'Rate Analysis'!A:R,16,0)</f>
        <v>100000</v>
      </c>
      <c r="P88" s="42">
        <f t="shared" si="37"/>
        <v>100000</v>
      </c>
      <c r="Q88" s="42">
        <f t="shared" si="38"/>
        <v>47500</v>
      </c>
      <c r="R88" s="42">
        <f t="shared" si="39"/>
        <v>47500</v>
      </c>
      <c r="S88" s="43">
        <f t="shared" si="40"/>
        <v>147500</v>
      </c>
      <c r="T88" s="43">
        <f t="shared" si="41"/>
        <v>147500</v>
      </c>
    </row>
    <row r="89" spans="1:20" ht="29" x14ac:dyDescent="0.35">
      <c r="A89" s="26" t="s">
        <v>1416</v>
      </c>
      <c r="B89" s="3" t="s">
        <v>1139</v>
      </c>
      <c r="C89" s="27" t="s">
        <v>1237</v>
      </c>
      <c r="D89" s="26" t="s">
        <v>1092</v>
      </c>
      <c r="E89" s="26"/>
      <c r="F89" s="26"/>
      <c r="G89" s="26"/>
      <c r="H89" s="26"/>
      <c r="I89" s="41" t="s">
        <v>1242</v>
      </c>
      <c r="J89" s="42">
        <v>1</v>
      </c>
      <c r="K89" s="3" t="s">
        <v>1147</v>
      </c>
      <c r="L89" s="42">
        <v>1</v>
      </c>
      <c r="M89" s="42">
        <f t="shared" si="35"/>
        <v>0</v>
      </c>
      <c r="N89" s="42">
        <f t="shared" si="36"/>
        <v>1</v>
      </c>
      <c r="O89" s="42">
        <f>VLOOKUP(A89,'Rate Analysis'!A:R,16,0)</f>
        <v>100000</v>
      </c>
      <c r="P89" s="42">
        <f t="shared" si="37"/>
        <v>100000</v>
      </c>
      <c r="Q89" s="42">
        <f t="shared" si="38"/>
        <v>47500</v>
      </c>
      <c r="R89" s="42">
        <f t="shared" si="39"/>
        <v>47500</v>
      </c>
      <c r="S89" s="43">
        <f t="shared" si="40"/>
        <v>147500</v>
      </c>
      <c r="T89" s="43">
        <f t="shared" si="41"/>
        <v>147500</v>
      </c>
    </row>
    <row r="90" spans="1:20" ht="29" x14ac:dyDescent="0.35">
      <c r="A90" s="26" t="s">
        <v>1417</v>
      </c>
      <c r="B90" s="3" t="s">
        <v>1143</v>
      </c>
      <c r="C90" s="27" t="s">
        <v>1237</v>
      </c>
      <c r="D90" s="26" t="s">
        <v>1092</v>
      </c>
      <c r="E90" s="26"/>
      <c r="F90" s="26"/>
      <c r="G90" s="26"/>
      <c r="H90" s="26"/>
      <c r="I90" s="41" t="s">
        <v>1243</v>
      </c>
      <c r="J90" s="42">
        <v>1</v>
      </c>
      <c r="K90" s="3" t="s">
        <v>1147</v>
      </c>
      <c r="L90" s="42">
        <v>1</v>
      </c>
      <c r="M90" s="42">
        <f t="shared" si="35"/>
        <v>0</v>
      </c>
      <c r="N90" s="42">
        <f t="shared" si="36"/>
        <v>1</v>
      </c>
      <c r="O90" s="42">
        <f>VLOOKUP(A90,'Rate Analysis'!A:R,16,0)</f>
        <v>100000</v>
      </c>
      <c r="P90" s="42">
        <f t="shared" si="37"/>
        <v>100000</v>
      </c>
      <c r="Q90" s="42">
        <f t="shared" si="38"/>
        <v>47500</v>
      </c>
      <c r="R90" s="42">
        <f t="shared" si="39"/>
        <v>47500</v>
      </c>
      <c r="S90" s="43">
        <f t="shared" si="40"/>
        <v>147500</v>
      </c>
      <c r="T90" s="43">
        <f t="shared" si="41"/>
        <v>147500</v>
      </c>
    </row>
    <row r="91" spans="1:20" ht="29" x14ac:dyDescent="0.35">
      <c r="A91" s="26" t="s">
        <v>1525</v>
      </c>
      <c r="B91" s="3" t="s">
        <v>1144</v>
      </c>
      <c r="C91" s="27" t="s">
        <v>1237</v>
      </c>
      <c r="D91" s="26" t="s">
        <v>235</v>
      </c>
      <c r="E91" s="26"/>
      <c r="F91" s="26"/>
      <c r="G91" s="26"/>
      <c r="H91" s="26"/>
      <c r="I91" s="41" t="s">
        <v>1244</v>
      </c>
      <c r="J91" s="42">
        <v>1</v>
      </c>
      <c r="K91" s="3" t="s">
        <v>1147</v>
      </c>
      <c r="L91" s="42">
        <v>1</v>
      </c>
      <c r="M91" s="42">
        <f t="shared" si="35"/>
        <v>0</v>
      </c>
      <c r="N91" s="42">
        <f t="shared" si="36"/>
        <v>1</v>
      </c>
      <c r="O91" s="42">
        <f>VLOOKUP(A91,'Rate Analysis'!A:R,16,0)</f>
        <v>100000</v>
      </c>
      <c r="P91" s="42">
        <f t="shared" si="37"/>
        <v>100000</v>
      </c>
      <c r="Q91" s="42">
        <f t="shared" si="38"/>
        <v>47500</v>
      </c>
      <c r="R91" s="42">
        <f t="shared" si="39"/>
        <v>47500</v>
      </c>
      <c r="S91" s="43">
        <f t="shared" si="40"/>
        <v>147500</v>
      </c>
      <c r="T91" s="43">
        <f t="shared" si="41"/>
        <v>147500</v>
      </c>
    </row>
    <row r="92" spans="1:20" x14ac:dyDescent="0.35">
      <c r="A92" s="24"/>
      <c r="B92" s="5"/>
      <c r="C92" s="24"/>
      <c r="D92" s="24"/>
      <c r="E92" s="24"/>
      <c r="F92" s="24"/>
      <c r="G92" s="24"/>
      <c r="H92" s="24"/>
      <c r="I92" s="44"/>
      <c r="J92" s="16"/>
      <c r="K92" s="5"/>
      <c r="L92" s="16"/>
      <c r="M92" s="16"/>
      <c r="N92" s="16"/>
      <c r="O92" s="16"/>
      <c r="P92" s="16"/>
      <c r="Q92" s="16"/>
      <c r="R92" s="16"/>
      <c r="S92" s="40"/>
      <c r="T92" s="40"/>
    </row>
    <row r="93" spans="1:20" x14ac:dyDescent="0.35">
      <c r="A93" s="26"/>
      <c r="B93" s="3"/>
      <c r="C93" s="26"/>
      <c r="D93" s="26"/>
      <c r="E93" s="26"/>
      <c r="F93" s="26"/>
      <c r="G93" s="26"/>
      <c r="H93" s="26"/>
      <c r="I93" s="7"/>
      <c r="J93" s="42"/>
      <c r="K93" s="3"/>
      <c r="L93" s="42"/>
      <c r="M93" s="42"/>
      <c r="N93" s="42"/>
      <c r="O93" s="42"/>
      <c r="P93" s="42"/>
      <c r="Q93" s="42"/>
      <c r="R93" s="42"/>
      <c r="S93" s="43"/>
      <c r="T93" s="43"/>
    </row>
    <row r="94" spans="1:20" x14ac:dyDescent="0.35">
      <c r="A94" s="24"/>
      <c r="B94" s="5"/>
      <c r="C94" s="24"/>
      <c r="D94" s="24"/>
      <c r="E94" s="24"/>
      <c r="F94" s="24"/>
      <c r="G94" s="24"/>
      <c r="H94" s="24"/>
      <c r="I94" s="44" t="s">
        <v>1251</v>
      </c>
      <c r="J94" s="16"/>
      <c r="K94" s="5"/>
      <c r="L94" s="16"/>
      <c r="M94" s="16"/>
      <c r="N94" s="16"/>
      <c r="O94" s="16"/>
      <c r="P94" s="40">
        <f>SUM(P11:P93)</f>
        <v>68356811.614583328</v>
      </c>
      <c r="Q94" s="16"/>
      <c r="R94" s="40">
        <f>SUM(R11:R93)</f>
        <v>32469485.516927078</v>
      </c>
      <c r="S94" s="40"/>
      <c r="T94" s="40">
        <f>SUM(T11:T93)</f>
        <v>100826297.13151044</v>
      </c>
    </row>
    <row r="95" spans="1:20" x14ac:dyDescent="0.35">
      <c r="R95" s="65"/>
    </row>
    <row r="96" spans="1:20" x14ac:dyDescent="0.35">
      <c r="R96" s="65"/>
    </row>
  </sheetData>
  <mergeCells count="2">
    <mergeCell ref="A2:T2"/>
    <mergeCell ref="A1:T1"/>
  </mergeCells>
  <phoneticPr fontId="4" type="noConversion"/>
  <pageMargins left="0.7" right="0.7" top="0.75" bottom="0.75" header="0.3" footer="0.3"/>
  <pageSetup scale="3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32AA-8DF7-4BA1-A5A4-9AC38CC8E16E}">
  <dimension ref="A1:P67"/>
  <sheetViews>
    <sheetView view="pageBreakPreview" topLeftCell="D1" zoomScaleNormal="55" zoomScaleSheetLayoutView="100" workbookViewId="0">
      <pane ySplit="1" topLeftCell="A2" activePane="bottomLeft" state="frozen"/>
      <selection pane="bottomLeft" activeCell="G21" sqref="G21"/>
    </sheetView>
  </sheetViews>
  <sheetFormatPr defaultRowHeight="14.5" x14ac:dyDescent="0.35"/>
  <cols>
    <col min="1" max="1" width="10.90625" style="9" bestFit="1" customWidth="1"/>
    <col min="2" max="2" width="18.08984375" style="9" bestFit="1" customWidth="1"/>
    <col min="3" max="3" width="24.6328125" style="9" bestFit="1" customWidth="1"/>
    <col min="4" max="4" width="21.36328125" style="9" bestFit="1" customWidth="1"/>
    <col min="5" max="5" width="17.81640625" style="9" bestFit="1" customWidth="1"/>
    <col min="6" max="6" width="21.54296875" style="9" bestFit="1" customWidth="1"/>
    <col min="7" max="7" width="33.6328125" bestFit="1" customWidth="1"/>
    <col min="8" max="8" width="17.453125" style="9" bestFit="1" customWidth="1"/>
    <col min="9" max="9" width="24.90625" style="9" bestFit="1" customWidth="1"/>
    <col min="10" max="10" width="10.36328125" style="9" bestFit="1" customWidth="1"/>
    <col min="11" max="11" width="21" style="9" bestFit="1" customWidth="1"/>
    <col min="12" max="12" width="16.6328125" style="39" bestFit="1" customWidth="1"/>
    <col min="13" max="13" width="21.36328125" style="9" bestFit="1" customWidth="1"/>
    <col min="14" max="14" width="17.1796875" style="39" bestFit="1" customWidth="1"/>
    <col min="15" max="15" width="14.453125" style="56" bestFit="1" customWidth="1"/>
    <col min="16" max="16" width="18.36328125" style="56" bestFit="1" customWidth="1"/>
  </cols>
  <sheetData>
    <row r="1" spans="1:16" s="6" customFormat="1" x14ac:dyDescent="0.35">
      <c r="A1" s="5" t="s">
        <v>110</v>
      </c>
      <c r="B1" s="5" t="s">
        <v>112</v>
      </c>
      <c r="C1" s="5" t="s">
        <v>1464</v>
      </c>
      <c r="D1" s="5" t="s">
        <v>137</v>
      </c>
      <c r="E1" s="5" t="s">
        <v>138</v>
      </c>
      <c r="F1" s="5" t="s">
        <v>141</v>
      </c>
      <c r="G1" s="5" t="s">
        <v>111</v>
      </c>
      <c r="H1" s="5" t="s">
        <v>142</v>
      </c>
      <c r="I1" s="5" t="s">
        <v>143</v>
      </c>
      <c r="J1" s="5" t="s">
        <v>976</v>
      </c>
      <c r="K1" s="5" t="s">
        <v>1460</v>
      </c>
      <c r="L1" s="16" t="s">
        <v>1461</v>
      </c>
      <c r="M1" s="5" t="s">
        <v>1462</v>
      </c>
      <c r="N1" s="16" t="s">
        <v>1463</v>
      </c>
      <c r="O1" s="16" t="s">
        <v>1486</v>
      </c>
      <c r="P1" s="16" t="s">
        <v>1498</v>
      </c>
    </row>
    <row r="2" spans="1:16" x14ac:dyDescent="0.35">
      <c r="A2" s="8">
        <v>1</v>
      </c>
      <c r="B2" s="8" t="s">
        <v>185</v>
      </c>
      <c r="C2" s="8" t="s">
        <v>1539</v>
      </c>
      <c r="D2" s="8" t="s">
        <v>113</v>
      </c>
      <c r="E2" s="8" t="s">
        <v>144</v>
      </c>
      <c r="F2" s="8" t="s">
        <v>145</v>
      </c>
      <c r="G2" s="4" t="s">
        <v>147</v>
      </c>
      <c r="H2" s="8" t="s">
        <v>162</v>
      </c>
      <c r="I2" s="8" t="s">
        <v>167</v>
      </c>
      <c r="J2" s="8"/>
      <c r="K2" s="47">
        <v>0.1</v>
      </c>
      <c r="L2" s="38">
        <v>100</v>
      </c>
      <c r="M2" s="47">
        <v>0.1</v>
      </c>
      <c r="N2" s="38">
        <f>'Material Supplier Comparison'!L3</f>
        <v>50</v>
      </c>
      <c r="O2" s="53">
        <f>SUMIF('Rate Analysis'!B:B,C2,'Rate Analysis'!Q:Q)</f>
        <v>98309.75</v>
      </c>
      <c r="P2" s="53">
        <f>N2*O2</f>
        <v>4915487.5</v>
      </c>
    </row>
    <row r="3" spans="1:16" x14ac:dyDescent="0.35">
      <c r="A3" s="8">
        <v>2</v>
      </c>
      <c r="B3" s="8" t="s">
        <v>186</v>
      </c>
      <c r="C3" s="8" t="s">
        <v>1545</v>
      </c>
      <c r="D3" s="8" t="s">
        <v>113</v>
      </c>
      <c r="E3" s="8" t="s">
        <v>144</v>
      </c>
      <c r="F3" s="8" t="s">
        <v>145</v>
      </c>
      <c r="G3" s="4" t="s">
        <v>148</v>
      </c>
      <c r="H3" s="8" t="s">
        <v>162</v>
      </c>
      <c r="I3" s="8" t="s">
        <v>167</v>
      </c>
      <c r="J3" s="8"/>
      <c r="K3" s="47">
        <v>0.1</v>
      </c>
      <c r="L3" s="38">
        <v>100</v>
      </c>
      <c r="M3" s="47">
        <v>0.05</v>
      </c>
      <c r="N3" s="38">
        <f>'Material Supplier Comparison'!L4</f>
        <v>50</v>
      </c>
      <c r="O3" s="53">
        <f>SUMIF('Rate Analysis'!B:B,C3,'Rate Analysis'!Q:Q)</f>
        <v>5250</v>
      </c>
      <c r="P3" s="53">
        <f>N3*O3</f>
        <v>262500</v>
      </c>
    </row>
    <row r="4" spans="1:16" x14ac:dyDescent="0.35">
      <c r="A4" s="8">
        <v>3</v>
      </c>
      <c r="B4" s="8" t="s">
        <v>193</v>
      </c>
      <c r="C4" s="8" t="s">
        <v>1540</v>
      </c>
      <c r="D4" s="8" t="s">
        <v>113</v>
      </c>
      <c r="E4" s="8" t="s">
        <v>144</v>
      </c>
      <c r="F4" s="8" t="s">
        <v>152</v>
      </c>
      <c r="G4" s="4" t="s">
        <v>156</v>
      </c>
      <c r="H4" s="8" t="s">
        <v>166</v>
      </c>
      <c r="I4" s="8" t="s">
        <v>168</v>
      </c>
      <c r="J4" s="8"/>
      <c r="K4" s="47">
        <v>0.1</v>
      </c>
      <c r="L4" s="38">
        <v>100</v>
      </c>
      <c r="M4" s="47">
        <v>0.1</v>
      </c>
      <c r="N4" s="38">
        <f>'Material Supplier Comparison'!L5</f>
        <v>50</v>
      </c>
      <c r="O4" s="53">
        <f>SUMIF('Rate Analysis'!B:B,C4,'Rate Analysis'!Q:Q)</f>
        <v>1567.5</v>
      </c>
      <c r="P4" s="53">
        <f>N4*O4</f>
        <v>78375</v>
      </c>
    </row>
    <row r="5" spans="1:16" x14ac:dyDescent="0.35">
      <c r="A5" s="8">
        <v>4</v>
      </c>
      <c r="B5" s="8" t="s">
        <v>194</v>
      </c>
      <c r="C5" s="8" t="s">
        <v>1546</v>
      </c>
      <c r="D5" s="8" t="s">
        <v>113</v>
      </c>
      <c r="E5" s="8" t="s">
        <v>144</v>
      </c>
      <c r="F5" s="8" t="s">
        <v>152</v>
      </c>
      <c r="G5" s="4" t="s">
        <v>157</v>
      </c>
      <c r="H5" s="8" t="s">
        <v>166</v>
      </c>
      <c r="I5" s="8" t="s">
        <v>168</v>
      </c>
      <c r="J5" s="8"/>
      <c r="K5" s="47">
        <v>0.1</v>
      </c>
      <c r="L5" s="38">
        <v>100</v>
      </c>
      <c r="M5" s="47">
        <v>0.05</v>
      </c>
      <c r="N5" s="38">
        <f>'Material Supplier Comparison'!L6</f>
        <v>400</v>
      </c>
      <c r="O5" s="53">
        <f>SUMIF('Rate Analysis'!B:B,C5,'Rate Analysis'!Q:Q)</f>
        <v>630</v>
      </c>
      <c r="P5" s="53">
        <f>N5*O5</f>
        <v>252000</v>
      </c>
    </row>
    <row r="6" spans="1:16" x14ac:dyDescent="0.35">
      <c r="A6" s="8">
        <v>5</v>
      </c>
      <c r="B6" s="8" t="s">
        <v>196</v>
      </c>
      <c r="C6" s="8" t="s">
        <v>1556</v>
      </c>
      <c r="D6" s="8" t="s">
        <v>113</v>
      </c>
      <c r="E6" s="8" t="s">
        <v>144</v>
      </c>
      <c r="F6" s="8" t="s">
        <v>152</v>
      </c>
      <c r="G6" s="4" t="s">
        <v>159</v>
      </c>
      <c r="H6" s="8" t="s">
        <v>166</v>
      </c>
      <c r="I6" s="8" t="s">
        <v>168</v>
      </c>
      <c r="J6" s="8"/>
      <c r="K6" s="47">
        <v>0.1</v>
      </c>
      <c r="L6" s="38">
        <v>100</v>
      </c>
      <c r="M6" s="47">
        <v>0.05</v>
      </c>
      <c r="N6" s="38">
        <f>'Material Supplier Comparison'!L7</f>
        <v>50</v>
      </c>
      <c r="O6" s="53">
        <f>SUMIF('Rate Analysis'!B:B,C6,'Rate Analysis'!Q:Q)</f>
        <v>19914.3</v>
      </c>
      <c r="P6" s="53">
        <f>N6*O6</f>
        <v>995715</v>
      </c>
    </row>
    <row r="7" spans="1:16" x14ac:dyDescent="0.35">
      <c r="A7" s="8">
        <v>6</v>
      </c>
      <c r="B7" s="8" t="s">
        <v>213</v>
      </c>
      <c r="C7" s="8" t="s">
        <v>1541</v>
      </c>
      <c r="D7" s="8" t="s">
        <v>113</v>
      </c>
      <c r="E7" s="8" t="s">
        <v>144</v>
      </c>
      <c r="F7" s="8" t="s">
        <v>169</v>
      </c>
      <c r="G7" s="4" t="s">
        <v>170</v>
      </c>
      <c r="H7" s="8" t="s">
        <v>26</v>
      </c>
      <c r="I7" s="8"/>
      <c r="J7" s="8"/>
      <c r="K7" s="47">
        <v>0.1</v>
      </c>
      <c r="L7" s="38">
        <v>100</v>
      </c>
      <c r="M7" s="47">
        <v>0.05</v>
      </c>
      <c r="N7" s="38">
        <f>'Material Supplier Comparison'!L8</f>
        <v>50</v>
      </c>
      <c r="O7" s="53">
        <f>SUMIF('Rate Analysis'!B:B,C7,'Rate Analysis'!Q:Q)</f>
        <v>214105.5</v>
      </c>
      <c r="P7" s="53">
        <f>N7*O7</f>
        <v>10705275</v>
      </c>
    </row>
    <row r="8" spans="1:16" x14ac:dyDescent="0.35">
      <c r="A8" s="8">
        <v>7</v>
      </c>
      <c r="B8" s="8" t="s">
        <v>215</v>
      </c>
      <c r="C8" s="8" t="s">
        <v>1543</v>
      </c>
      <c r="D8" s="8" t="s">
        <v>113</v>
      </c>
      <c r="E8" s="8" t="s">
        <v>144</v>
      </c>
      <c r="F8" s="8" t="s">
        <v>169</v>
      </c>
      <c r="G8" s="4" t="s">
        <v>171</v>
      </c>
      <c r="H8" s="8" t="s">
        <v>26</v>
      </c>
      <c r="I8" s="8"/>
      <c r="J8" s="8"/>
      <c r="K8" s="47">
        <v>0.1</v>
      </c>
      <c r="L8" s="38">
        <v>100</v>
      </c>
      <c r="M8" s="47">
        <v>0.1</v>
      </c>
      <c r="N8" s="38">
        <f>'Material Supplier Comparison'!L9</f>
        <v>80</v>
      </c>
      <c r="O8" s="53">
        <f>SUMIF('Rate Analysis'!B:B,C8,'Rate Analysis'!Q:Q)</f>
        <v>6600</v>
      </c>
      <c r="P8" s="53">
        <f>N8*O8</f>
        <v>528000</v>
      </c>
    </row>
    <row r="9" spans="1:16" x14ac:dyDescent="0.35">
      <c r="A9" s="8">
        <v>8</v>
      </c>
      <c r="B9" s="8" t="s">
        <v>220</v>
      </c>
      <c r="C9" s="8" t="s">
        <v>1542</v>
      </c>
      <c r="D9" s="8" t="s">
        <v>113</v>
      </c>
      <c r="E9" s="8" t="s">
        <v>144</v>
      </c>
      <c r="F9" s="8" t="s">
        <v>173</v>
      </c>
      <c r="G9" s="4" t="s">
        <v>178</v>
      </c>
      <c r="H9" s="8" t="s">
        <v>177</v>
      </c>
      <c r="I9" s="8"/>
      <c r="J9" s="8"/>
      <c r="K9" s="47">
        <v>0.1</v>
      </c>
      <c r="L9" s="38">
        <v>100</v>
      </c>
      <c r="M9" s="47">
        <v>0.05</v>
      </c>
      <c r="N9" s="38">
        <f>'Material Supplier Comparison'!L10</f>
        <v>50</v>
      </c>
      <c r="O9" s="53">
        <f>SUMIF('Rate Analysis'!B:B,C9,'Rate Analysis'!Q:Q)</f>
        <v>144900</v>
      </c>
      <c r="P9" s="53">
        <f>N9*O9</f>
        <v>7245000</v>
      </c>
    </row>
    <row r="10" spans="1:16" x14ac:dyDescent="0.35">
      <c r="A10" s="8">
        <v>9</v>
      </c>
      <c r="B10" s="8" t="s">
        <v>223</v>
      </c>
      <c r="C10" s="8" t="s">
        <v>1544</v>
      </c>
      <c r="D10" s="8" t="s">
        <v>113</v>
      </c>
      <c r="E10" s="8" t="s">
        <v>144</v>
      </c>
      <c r="F10" s="8" t="s">
        <v>173</v>
      </c>
      <c r="G10" s="4" t="s">
        <v>181</v>
      </c>
      <c r="H10" s="8" t="s">
        <v>177</v>
      </c>
      <c r="I10" s="8"/>
      <c r="J10" s="8"/>
      <c r="K10" s="47">
        <v>0.1</v>
      </c>
      <c r="L10" s="38">
        <v>100</v>
      </c>
      <c r="M10" s="47">
        <v>0.1</v>
      </c>
      <c r="N10" s="38">
        <f>'Material Supplier Comparison'!L11</f>
        <v>50</v>
      </c>
      <c r="O10" s="53">
        <f>SUMIF('Rate Analysis'!B:B,C10,'Rate Analysis'!Q:Q)</f>
        <v>303600</v>
      </c>
      <c r="P10" s="53">
        <f>N10*O10</f>
        <v>15180000</v>
      </c>
    </row>
    <row r="11" spans="1:16" x14ac:dyDescent="0.35">
      <c r="A11" s="8">
        <v>10</v>
      </c>
      <c r="B11" s="8" t="s">
        <v>286</v>
      </c>
      <c r="C11" s="8" t="s">
        <v>1535</v>
      </c>
      <c r="D11" s="8" t="s">
        <v>113</v>
      </c>
      <c r="E11" s="8" t="s">
        <v>235</v>
      </c>
      <c r="F11" s="8" t="s">
        <v>136</v>
      </c>
      <c r="G11" s="4" t="s">
        <v>243</v>
      </c>
      <c r="H11" s="8" t="s">
        <v>20</v>
      </c>
      <c r="I11" s="8" t="s">
        <v>324</v>
      </c>
      <c r="J11" s="8" t="s">
        <v>977</v>
      </c>
      <c r="K11" s="47">
        <v>0.1</v>
      </c>
      <c r="L11" s="38">
        <v>100</v>
      </c>
      <c r="M11" s="47">
        <v>0.05</v>
      </c>
      <c r="N11" s="38">
        <f>'Material Supplier Comparison'!L12</f>
        <v>50</v>
      </c>
      <c r="O11" s="53">
        <f>SUMIF('Rate Analysis'!B:B,C11,'Rate Analysis'!Q:Q)</f>
        <v>1259.635416666667</v>
      </c>
      <c r="P11" s="53">
        <f>N11*O11</f>
        <v>62981.77083333335</v>
      </c>
    </row>
    <row r="12" spans="1:16" x14ac:dyDescent="0.35">
      <c r="A12" s="8">
        <v>11</v>
      </c>
      <c r="B12" s="8" t="s">
        <v>294</v>
      </c>
      <c r="C12" s="8" t="s">
        <v>1538</v>
      </c>
      <c r="D12" s="8" t="s">
        <v>113</v>
      </c>
      <c r="E12" s="8" t="s">
        <v>235</v>
      </c>
      <c r="F12" s="8" t="s">
        <v>136</v>
      </c>
      <c r="G12" s="4" t="s">
        <v>251</v>
      </c>
      <c r="H12" s="8" t="s">
        <v>20</v>
      </c>
      <c r="I12" s="8" t="s">
        <v>324</v>
      </c>
      <c r="J12" s="8" t="s">
        <v>977</v>
      </c>
      <c r="K12" s="47">
        <v>0.1</v>
      </c>
      <c r="L12" s="38">
        <v>100</v>
      </c>
      <c r="M12" s="47">
        <v>0.05</v>
      </c>
      <c r="N12" s="38">
        <f>'Material Supplier Comparison'!L13</f>
        <v>50</v>
      </c>
      <c r="O12" s="53">
        <f>SUMIF('Rate Analysis'!B:B,C12,'Rate Analysis'!Q:Q)</f>
        <v>364.58333333333337</v>
      </c>
      <c r="P12" s="53">
        <f>N12*O12</f>
        <v>18229.166666666668</v>
      </c>
    </row>
    <row r="13" spans="1:16" x14ac:dyDescent="0.35">
      <c r="A13" s="8">
        <v>12</v>
      </c>
      <c r="B13" s="8" t="s">
        <v>297</v>
      </c>
      <c r="C13" s="8" t="s">
        <v>1537</v>
      </c>
      <c r="D13" s="8" t="s">
        <v>113</v>
      </c>
      <c r="E13" s="8" t="s">
        <v>235</v>
      </c>
      <c r="F13" s="8" t="s">
        <v>136</v>
      </c>
      <c r="G13" s="4" t="s">
        <v>254</v>
      </c>
      <c r="H13" s="8" t="s">
        <v>20</v>
      </c>
      <c r="I13" s="8" t="s">
        <v>324</v>
      </c>
      <c r="J13" s="8" t="s">
        <v>977</v>
      </c>
      <c r="K13" s="47">
        <v>0.1</v>
      </c>
      <c r="L13" s="38">
        <v>100</v>
      </c>
      <c r="M13" s="47">
        <v>0.1</v>
      </c>
      <c r="N13" s="38">
        <f>'Material Supplier Comparison'!L14</f>
        <v>50</v>
      </c>
      <c r="O13" s="53">
        <f>SUMIF('Rate Analysis'!B:B,C13,'Rate Analysis'!Q:Q)</f>
        <v>381.94444444444451</v>
      </c>
      <c r="P13" s="53">
        <f>N13*O13</f>
        <v>19097.222222222226</v>
      </c>
    </row>
    <row r="14" spans="1:16" x14ac:dyDescent="0.35">
      <c r="A14" s="8">
        <v>13</v>
      </c>
      <c r="B14" s="8" t="s">
        <v>853</v>
      </c>
      <c r="C14" s="8" t="s">
        <v>1536</v>
      </c>
      <c r="D14" s="8" t="s">
        <v>113</v>
      </c>
      <c r="E14" s="8" t="s">
        <v>235</v>
      </c>
      <c r="F14" s="8" t="s">
        <v>851</v>
      </c>
      <c r="G14" s="4" t="s">
        <v>788</v>
      </c>
      <c r="H14" s="8" t="s">
        <v>17</v>
      </c>
      <c r="I14" s="8"/>
      <c r="J14" s="8"/>
      <c r="K14" s="47">
        <v>0.1</v>
      </c>
      <c r="L14" s="38">
        <v>100</v>
      </c>
      <c r="M14" s="47">
        <v>0.1</v>
      </c>
      <c r="N14" s="38">
        <f>'Material Supplier Comparison'!L15</f>
        <v>80</v>
      </c>
      <c r="O14" s="53">
        <f>SUMIF('Rate Analysis'!B:B,C14,'Rate Analysis'!Q:Q)</f>
        <v>1049.8888888888887</v>
      </c>
      <c r="P14" s="53">
        <f>N14*O14</f>
        <v>83991.111111111095</v>
      </c>
    </row>
    <row r="15" spans="1:16" x14ac:dyDescent="0.35">
      <c r="A15" s="8">
        <v>14</v>
      </c>
      <c r="B15" s="8" t="s">
        <v>857</v>
      </c>
      <c r="C15" s="8" t="s">
        <v>1526</v>
      </c>
      <c r="D15" s="8" t="s">
        <v>113</v>
      </c>
      <c r="E15" s="8" t="s">
        <v>235</v>
      </c>
      <c r="F15" s="8" t="s">
        <v>851</v>
      </c>
      <c r="G15" s="4" t="s">
        <v>792</v>
      </c>
      <c r="H15" s="8" t="s">
        <v>17</v>
      </c>
      <c r="I15" s="8"/>
      <c r="J15" s="8"/>
      <c r="K15" s="47">
        <v>0.1</v>
      </c>
      <c r="L15" s="38">
        <v>100</v>
      </c>
      <c r="M15" s="47">
        <v>0.1</v>
      </c>
      <c r="N15" s="38">
        <f>'Material Supplier Comparison'!L16</f>
        <v>50</v>
      </c>
      <c r="O15" s="53">
        <f>SUMIF('Rate Analysis'!B:B,C15,'Rate Analysis'!Q:Q)</f>
        <v>152.26215277777777</v>
      </c>
      <c r="P15" s="53">
        <f>N15*O15</f>
        <v>7613.1076388888887</v>
      </c>
    </row>
    <row r="16" spans="1:16" x14ac:dyDescent="0.35">
      <c r="A16" s="8">
        <v>15</v>
      </c>
      <c r="B16" s="8" t="s">
        <v>893</v>
      </c>
      <c r="C16" s="8" t="s">
        <v>1534</v>
      </c>
      <c r="D16" s="8" t="s">
        <v>113</v>
      </c>
      <c r="E16" s="8" t="s">
        <v>235</v>
      </c>
      <c r="F16" s="8" t="s">
        <v>851</v>
      </c>
      <c r="G16" s="4" t="s">
        <v>828</v>
      </c>
      <c r="H16" s="8" t="s">
        <v>17</v>
      </c>
      <c r="I16" s="8"/>
      <c r="J16" s="8"/>
      <c r="K16" s="47">
        <v>0.1</v>
      </c>
      <c r="L16" s="38">
        <v>100</v>
      </c>
      <c r="M16" s="47">
        <v>0.1</v>
      </c>
      <c r="N16" s="38">
        <f>'Material Supplier Comparison'!L17</f>
        <v>50</v>
      </c>
      <c r="O16" s="53">
        <f>SUMIF('Rate Analysis'!B:B,C16,'Rate Analysis'!Q:Q)</f>
        <v>217.78472222222223</v>
      </c>
      <c r="P16" s="53">
        <f>N16*O16</f>
        <v>10889.236111111111</v>
      </c>
    </row>
    <row r="17" spans="1:16" x14ac:dyDescent="0.35">
      <c r="A17" s="8">
        <v>16</v>
      </c>
      <c r="B17" s="8" t="s">
        <v>935</v>
      </c>
      <c r="C17" s="8" t="s">
        <v>1527</v>
      </c>
      <c r="D17" s="8" t="s">
        <v>113</v>
      </c>
      <c r="E17" s="8" t="s">
        <v>235</v>
      </c>
      <c r="F17" s="8" t="s">
        <v>934</v>
      </c>
      <c r="G17" s="4" t="s">
        <v>916</v>
      </c>
      <c r="H17" s="8" t="s">
        <v>10</v>
      </c>
      <c r="I17" s="8"/>
      <c r="J17" s="8"/>
      <c r="K17" s="47">
        <v>0.1</v>
      </c>
      <c r="L17" s="38">
        <v>100</v>
      </c>
      <c r="M17" s="47">
        <v>0.05</v>
      </c>
      <c r="N17" s="38">
        <f>'Material Supplier Comparison'!L18</f>
        <v>80</v>
      </c>
      <c r="O17" s="53">
        <f>SUMIF('Rate Analysis'!B:B,C17,'Rate Analysis'!Q:Q)</f>
        <v>1653.75</v>
      </c>
      <c r="P17" s="53">
        <f>N17*O17</f>
        <v>132300</v>
      </c>
    </row>
    <row r="18" spans="1:16" x14ac:dyDescent="0.35">
      <c r="A18" s="8">
        <v>17</v>
      </c>
      <c r="B18" s="8" t="s">
        <v>936</v>
      </c>
      <c r="C18" s="8" t="s">
        <v>1529</v>
      </c>
      <c r="D18" s="8" t="s">
        <v>113</v>
      </c>
      <c r="E18" s="8" t="s">
        <v>235</v>
      </c>
      <c r="F18" s="8" t="s">
        <v>934</v>
      </c>
      <c r="G18" s="4" t="s">
        <v>917</v>
      </c>
      <c r="H18" s="8" t="s">
        <v>10</v>
      </c>
      <c r="I18" s="8"/>
      <c r="J18" s="8"/>
      <c r="K18" s="47">
        <v>0.1</v>
      </c>
      <c r="L18" s="38">
        <v>100</v>
      </c>
      <c r="M18" s="47">
        <v>0.1</v>
      </c>
      <c r="N18" s="38">
        <f>'Material Supplier Comparison'!L19</f>
        <v>50</v>
      </c>
      <c r="O18" s="53">
        <f>SUMIF('Rate Analysis'!B:B,C18,'Rate Analysis'!Q:Q)</f>
        <v>3960</v>
      </c>
      <c r="P18" s="53">
        <f>N18*O18</f>
        <v>198000</v>
      </c>
    </row>
    <row r="19" spans="1:16" x14ac:dyDescent="0.35">
      <c r="A19" s="8">
        <v>18</v>
      </c>
      <c r="B19" s="8" t="s">
        <v>953</v>
      </c>
      <c r="C19" s="8" t="s">
        <v>1528</v>
      </c>
      <c r="D19" s="8" t="s">
        <v>113</v>
      </c>
      <c r="E19" s="8" t="s">
        <v>235</v>
      </c>
      <c r="F19" s="8" t="s">
        <v>934</v>
      </c>
      <c r="G19" s="13" t="s">
        <v>954</v>
      </c>
      <c r="H19" s="8" t="s">
        <v>10</v>
      </c>
      <c r="I19" s="8"/>
      <c r="J19" s="8"/>
      <c r="K19" s="47">
        <v>0.1</v>
      </c>
      <c r="L19" s="38">
        <v>100</v>
      </c>
      <c r="M19" s="47">
        <v>0.05</v>
      </c>
      <c r="N19" s="38">
        <f>'Material Supplier Comparison'!L20</f>
        <v>50</v>
      </c>
      <c r="O19" s="53">
        <f>SUMIF('Rate Analysis'!B:B,C19,'Rate Analysis'!Q:Q)</f>
        <v>5265.75</v>
      </c>
      <c r="P19" s="53">
        <f>N19*O19</f>
        <v>263287.5</v>
      </c>
    </row>
    <row r="20" spans="1:16" x14ac:dyDescent="0.35">
      <c r="A20" s="8">
        <v>19</v>
      </c>
      <c r="B20" s="8" t="s">
        <v>969</v>
      </c>
      <c r="C20" s="8" t="s">
        <v>1531</v>
      </c>
      <c r="D20" s="8" t="s">
        <v>113</v>
      </c>
      <c r="E20" s="8" t="s">
        <v>235</v>
      </c>
      <c r="F20" s="8" t="s">
        <v>968</v>
      </c>
      <c r="G20" s="13" t="s">
        <v>970</v>
      </c>
      <c r="H20" s="8" t="s">
        <v>20</v>
      </c>
      <c r="I20" s="8" t="s">
        <v>324</v>
      </c>
      <c r="J20" s="8"/>
      <c r="K20" s="47">
        <v>0.1</v>
      </c>
      <c r="L20" s="38">
        <v>100</v>
      </c>
      <c r="M20" s="47">
        <v>0.1</v>
      </c>
      <c r="N20" s="38">
        <f>'Material Supplier Comparison'!L21</f>
        <v>50</v>
      </c>
      <c r="O20" s="53">
        <f>SUMIF('Rate Analysis'!B:B,C20,'Rate Analysis'!Q:Q)</f>
        <v>44</v>
      </c>
      <c r="P20" s="53">
        <f>N20*O20</f>
        <v>2200</v>
      </c>
    </row>
    <row r="21" spans="1:16" x14ac:dyDescent="0.35">
      <c r="A21" s="8">
        <v>20</v>
      </c>
      <c r="B21" s="8" t="s">
        <v>984</v>
      </c>
      <c r="C21" s="8" t="s">
        <v>1530</v>
      </c>
      <c r="D21" s="8" t="s">
        <v>113</v>
      </c>
      <c r="E21" s="8" t="s">
        <v>235</v>
      </c>
      <c r="F21" s="8" t="s">
        <v>968</v>
      </c>
      <c r="G21" s="13" t="s">
        <v>971</v>
      </c>
      <c r="H21" s="8" t="s">
        <v>20</v>
      </c>
      <c r="I21" s="8" t="s">
        <v>983</v>
      </c>
      <c r="J21" s="8"/>
      <c r="K21" s="47">
        <v>0.1</v>
      </c>
      <c r="L21" s="38">
        <v>100</v>
      </c>
      <c r="M21" s="47">
        <v>0.05</v>
      </c>
      <c r="N21" s="38">
        <f>'Material Supplier Comparison'!L22</f>
        <v>50</v>
      </c>
      <c r="O21" s="53">
        <f>SUMIF('Rate Analysis'!B:B,C21,'Rate Analysis'!Q:Q)</f>
        <v>31.5</v>
      </c>
      <c r="P21" s="53">
        <f>N21*O21</f>
        <v>1575</v>
      </c>
    </row>
    <row r="22" spans="1:16" x14ac:dyDescent="0.35">
      <c r="A22" s="8">
        <v>21</v>
      </c>
      <c r="B22" s="8" t="s">
        <v>991</v>
      </c>
      <c r="C22" s="8" t="s">
        <v>1532</v>
      </c>
      <c r="D22" s="8" t="s">
        <v>113</v>
      </c>
      <c r="E22" s="8" t="s">
        <v>235</v>
      </c>
      <c r="F22" s="8" t="s">
        <v>968</v>
      </c>
      <c r="G22" s="13" t="s">
        <v>980</v>
      </c>
      <c r="H22" s="8" t="s">
        <v>20</v>
      </c>
      <c r="I22" s="8" t="s">
        <v>324</v>
      </c>
      <c r="J22" s="8"/>
      <c r="K22" s="47">
        <v>0.1</v>
      </c>
      <c r="L22" s="38">
        <v>100</v>
      </c>
      <c r="M22" s="47">
        <v>0.1</v>
      </c>
      <c r="N22" s="38">
        <f>'Material Supplier Comparison'!L23</f>
        <v>50</v>
      </c>
      <c r="O22" s="53">
        <f>SUMIF('Rate Analysis'!B:B,C22,'Rate Analysis'!Q:Q)</f>
        <v>5.5</v>
      </c>
      <c r="P22" s="53">
        <f>N22*O22</f>
        <v>275</v>
      </c>
    </row>
    <row r="23" spans="1:16" x14ac:dyDescent="0.35">
      <c r="A23" s="8">
        <v>22</v>
      </c>
      <c r="B23" s="8" t="s">
        <v>995</v>
      </c>
      <c r="C23" s="8" t="s">
        <v>1533</v>
      </c>
      <c r="D23" s="8" t="s">
        <v>113</v>
      </c>
      <c r="E23" s="8" t="s">
        <v>235</v>
      </c>
      <c r="F23" s="8" t="s">
        <v>968</v>
      </c>
      <c r="G23" s="13" t="s">
        <v>982</v>
      </c>
      <c r="H23" s="8" t="s">
        <v>20</v>
      </c>
      <c r="I23" s="8" t="s">
        <v>324</v>
      </c>
      <c r="J23" s="8"/>
      <c r="K23" s="47">
        <v>0.1</v>
      </c>
      <c r="L23" s="38">
        <v>100</v>
      </c>
      <c r="M23" s="47">
        <v>0.1</v>
      </c>
      <c r="N23" s="38">
        <f>'Material Supplier Comparison'!L24</f>
        <v>50</v>
      </c>
      <c r="O23" s="53">
        <f>SUMIF('Rate Analysis'!B:B,C23,'Rate Analysis'!Q:Q)</f>
        <v>11</v>
      </c>
      <c r="P23" s="53">
        <f>N23*O23</f>
        <v>550</v>
      </c>
    </row>
    <row r="24" spans="1:16" x14ac:dyDescent="0.35">
      <c r="A24" s="8">
        <v>23</v>
      </c>
      <c r="B24" s="8" t="s">
        <v>1096</v>
      </c>
      <c r="C24" s="8" t="s">
        <v>1487</v>
      </c>
      <c r="D24" s="8" t="s">
        <v>114</v>
      </c>
      <c r="E24" s="8" t="s">
        <v>144</v>
      </c>
      <c r="F24" s="8"/>
      <c r="G24" s="13" t="s">
        <v>1077</v>
      </c>
      <c r="H24" s="8" t="s">
        <v>60</v>
      </c>
      <c r="I24" s="8"/>
      <c r="J24" s="8"/>
      <c r="K24" s="47">
        <v>0.1</v>
      </c>
      <c r="L24" s="38">
        <v>100</v>
      </c>
      <c r="M24" s="47">
        <v>0.05</v>
      </c>
      <c r="N24" s="38">
        <f>'Labour Comparison'!L3</f>
        <v>80</v>
      </c>
      <c r="O24" s="53">
        <f>SUMIF('Rate Analysis'!B:B,C24,'Rate Analysis'!Q:Q)</f>
        <v>10.5</v>
      </c>
      <c r="P24" s="53">
        <f>N24*O24</f>
        <v>840</v>
      </c>
    </row>
    <row r="25" spans="1:16" x14ac:dyDescent="0.35">
      <c r="A25" s="8">
        <v>24</v>
      </c>
      <c r="B25" s="8" t="s">
        <v>1098</v>
      </c>
      <c r="C25" s="8" t="s">
        <v>1488</v>
      </c>
      <c r="D25" s="8" t="s">
        <v>114</v>
      </c>
      <c r="E25" s="8" t="s">
        <v>144</v>
      </c>
      <c r="F25" s="8"/>
      <c r="G25" s="13" t="s">
        <v>1078</v>
      </c>
      <c r="H25" s="8" t="s">
        <v>60</v>
      </c>
      <c r="I25" s="8"/>
      <c r="J25" s="8"/>
      <c r="K25" s="47">
        <v>0.1</v>
      </c>
      <c r="L25" s="38">
        <v>100</v>
      </c>
      <c r="M25" s="47">
        <v>0.1</v>
      </c>
      <c r="N25" s="38">
        <f>'Labour Comparison'!L4</f>
        <v>50</v>
      </c>
      <c r="O25" s="53">
        <f>SUMIF('Rate Analysis'!B:B,C25,'Rate Analysis'!Q:Q)</f>
        <v>22</v>
      </c>
      <c r="P25" s="53">
        <f>N25*O25</f>
        <v>1100</v>
      </c>
    </row>
    <row r="26" spans="1:16" x14ac:dyDescent="0.35">
      <c r="A26" s="8">
        <v>25</v>
      </c>
      <c r="B26" s="8" t="s">
        <v>1099</v>
      </c>
      <c r="C26" s="8" t="s">
        <v>1489</v>
      </c>
      <c r="D26" s="8" t="s">
        <v>114</v>
      </c>
      <c r="E26" s="8" t="s">
        <v>144</v>
      </c>
      <c r="F26" s="8"/>
      <c r="G26" s="13" t="s">
        <v>1079</v>
      </c>
      <c r="H26" s="8" t="s">
        <v>60</v>
      </c>
      <c r="I26" s="8"/>
      <c r="J26" s="8"/>
      <c r="K26" s="47">
        <v>0.1</v>
      </c>
      <c r="L26" s="38">
        <v>100</v>
      </c>
      <c r="M26" s="47">
        <v>0.05</v>
      </c>
      <c r="N26" s="38">
        <f>'Labour Comparison'!L5</f>
        <v>50</v>
      </c>
      <c r="O26" s="53">
        <f>SUMIF('Rate Analysis'!B:B,C26,'Rate Analysis'!Q:Q)</f>
        <v>144018</v>
      </c>
      <c r="P26" s="53">
        <f>N26*O26</f>
        <v>7200900</v>
      </c>
    </row>
    <row r="27" spans="1:16" x14ac:dyDescent="0.35">
      <c r="A27" s="8">
        <v>26</v>
      </c>
      <c r="B27" s="8" t="s">
        <v>1100</v>
      </c>
      <c r="C27" s="8" t="s">
        <v>1490</v>
      </c>
      <c r="D27" s="8" t="s">
        <v>114</v>
      </c>
      <c r="E27" s="8" t="s">
        <v>144</v>
      </c>
      <c r="F27" s="8"/>
      <c r="G27" s="13" t="s">
        <v>1080</v>
      </c>
      <c r="H27" s="8" t="s">
        <v>60</v>
      </c>
      <c r="I27" s="8"/>
      <c r="J27" s="8"/>
      <c r="K27" s="47">
        <v>0.1</v>
      </c>
      <c r="L27" s="38">
        <v>100</v>
      </c>
      <c r="M27" s="47">
        <v>0.1</v>
      </c>
      <c r="N27" s="38">
        <f>'Labour Comparison'!L6</f>
        <v>100</v>
      </c>
      <c r="O27" s="53">
        <f>SUMIF('Rate Analysis'!B:B,C27,'Rate Analysis'!Q:Q)</f>
        <v>11137.5</v>
      </c>
      <c r="P27" s="53">
        <f>N27*O27</f>
        <v>1113750</v>
      </c>
    </row>
    <row r="28" spans="1:16" x14ac:dyDescent="0.35">
      <c r="A28" s="8">
        <v>27</v>
      </c>
      <c r="B28" s="8" t="s">
        <v>1101</v>
      </c>
      <c r="C28" s="8" t="s">
        <v>1491</v>
      </c>
      <c r="D28" s="8" t="s">
        <v>114</v>
      </c>
      <c r="E28" s="8" t="s">
        <v>144</v>
      </c>
      <c r="F28" s="8"/>
      <c r="G28" s="13" t="s">
        <v>1081</v>
      </c>
      <c r="H28" s="8" t="s">
        <v>60</v>
      </c>
      <c r="I28" s="8"/>
      <c r="J28" s="8"/>
      <c r="K28" s="47">
        <v>0.1</v>
      </c>
      <c r="L28" s="38">
        <v>100</v>
      </c>
      <c r="M28" s="47">
        <v>0.05</v>
      </c>
      <c r="N28" s="38">
        <f>'Labour Comparison'!L7</f>
        <v>50</v>
      </c>
      <c r="O28" s="53">
        <f>SUMIF('Rate Analysis'!B:B,C28,'Rate Analysis'!Q:Q)</f>
        <v>154681.79999999999</v>
      </c>
      <c r="P28" s="53">
        <f>N28*O28</f>
        <v>7734089.9999999991</v>
      </c>
    </row>
    <row r="29" spans="1:16" x14ac:dyDescent="0.35">
      <c r="A29" s="8">
        <v>28</v>
      </c>
      <c r="B29" s="8" t="s">
        <v>1097</v>
      </c>
      <c r="C29" s="8" t="s">
        <v>1492</v>
      </c>
      <c r="D29" s="8" t="s">
        <v>114</v>
      </c>
      <c r="E29" s="8" t="s">
        <v>1092</v>
      </c>
      <c r="F29" s="8"/>
      <c r="G29" s="13" t="s">
        <v>1081</v>
      </c>
      <c r="H29" s="8" t="s">
        <v>60</v>
      </c>
      <c r="I29" s="8"/>
      <c r="J29" s="8"/>
      <c r="K29" s="47">
        <v>0.1</v>
      </c>
      <c r="L29" s="38">
        <v>100</v>
      </c>
      <c r="M29" s="47">
        <v>0.1</v>
      </c>
      <c r="N29" s="38">
        <f>'Labour Comparison'!L8</f>
        <v>50</v>
      </c>
      <c r="O29" s="53">
        <f>SUMIF('Rate Analysis'!B:B,C29,'Rate Analysis'!Q:Q)</f>
        <v>77</v>
      </c>
      <c r="P29" s="53">
        <f>N29*O29</f>
        <v>3850</v>
      </c>
    </row>
    <row r="30" spans="1:16" x14ac:dyDescent="0.35">
      <c r="A30" s="8">
        <v>29</v>
      </c>
      <c r="B30" s="8" t="s">
        <v>1111</v>
      </c>
      <c r="C30" s="8" t="s">
        <v>1493</v>
      </c>
      <c r="D30" s="8" t="s">
        <v>114</v>
      </c>
      <c r="E30" s="8" t="s">
        <v>1092</v>
      </c>
      <c r="F30" s="8"/>
      <c r="G30" s="13" t="s">
        <v>1087</v>
      </c>
      <c r="H30" s="8" t="s">
        <v>60</v>
      </c>
      <c r="I30" s="8"/>
      <c r="J30" s="8"/>
      <c r="K30" s="47">
        <v>0.1</v>
      </c>
      <c r="L30" s="38">
        <v>100</v>
      </c>
      <c r="M30" s="47">
        <v>0.05</v>
      </c>
      <c r="N30" s="38">
        <f>'Labour Comparison'!L9</f>
        <v>80</v>
      </c>
      <c r="O30" s="53">
        <f>SUMIF('Rate Analysis'!B:B,C30,'Rate Analysis'!Q:Q)</f>
        <v>42</v>
      </c>
      <c r="P30" s="53">
        <f>N30*O30</f>
        <v>3360</v>
      </c>
    </row>
    <row r="31" spans="1:16" x14ac:dyDescent="0.35">
      <c r="A31" s="8">
        <v>30</v>
      </c>
      <c r="B31" s="8" t="s">
        <v>1112</v>
      </c>
      <c r="C31" s="8" t="s">
        <v>1494</v>
      </c>
      <c r="D31" s="8" t="s">
        <v>114</v>
      </c>
      <c r="E31" s="8" t="s">
        <v>1092</v>
      </c>
      <c r="F31" s="8"/>
      <c r="G31" s="13" t="s">
        <v>1088</v>
      </c>
      <c r="H31" s="8" t="s">
        <v>60</v>
      </c>
      <c r="I31" s="8"/>
      <c r="J31" s="8"/>
      <c r="K31" s="47">
        <v>0.1</v>
      </c>
      <c r="L31" s="38">
        <v>100</v>
      </c>
      <c r="M31" s="47">
        <v>0.1</v>
      </c>
      <c r="N31" s="38">
        <f>'Labour Comparison'!L10</f>
        <v>50</v>
      </c>
      <c r="O31" s="53">
        <f>SUMIF('Rate Analysis'!B:B,C31,'Rate Analysis'!Q:Q)</f>
        <v>11</v>
      </c>
      <c r="P31" s="53">
        <f>N31*O31</f>
        <v>550</v>
      </c>
    </row>
    <row r="32" spans="1:16" x14ac:dyDescent="0.35">
      <c r="A32" s="8">
        <v>31</v>
      </c>
      <c r="B32" s="8" t="s">
        <v>1113</v>
      </c>
      <c r="C32" s="8" t="s">
        <v>1495</v>
      </c>
      <c r="D32" s="8" t="s">
        <v>114</v>
      </c>
      <c r="E32" s="8" t="s">
        <v>1092</v>
      </c>
      <c r="F32" s="8"/>
      <c r="G32" s="13" t="s">
        <v>1089</v>
      </c>
      <c r="H32" s="8" t="s">
        <v>60</v>
      </c>
      <c r="I32" s="8"/>
      <c r="J32" s="8"/>
      <c r="K32" s="47">
        <v>0.1</v>
      </c>
      <c r="L32" s="38">
        <v>100</v>
      </c>
      <c r="M32" s="47">
        <v>0.05</v>
      </c>
      <c r="N32" s="38">
        <f>'Labour Comparison'!L11</f>
        <v>50</v>
      </c>
      <c r="O32" s="53">
        <f>SUMIF('Rate Analysis'!B:B,C32,'Rate Analysis'!Q:Q)</f>
        <v>21</v>
      </c>
      <c r="P32" s="53">
        <f>N32*O32</f>
        <v>1050</v>
      </c>
    </row>
    <row r="33" spans="1:16" x14ac:dyDescent="0.35">
      <c r="A33" s="8">
        <v>32</v>
      </c>
      <c r="B33" s="8" t="s">
        <v>1117</v>
      </c>
      <c r="C33" s="8" t="s">
        <v>1497</v>
      </c>
      <c r="D33" s="8" t="s">
        <v>114</v>
      </c>
      <c r="E33" s="8" t="s">
        <v>235</v>
      </c>
      <c r="F33" s="8"/>
      <c r="G33" s="13" t="s">
        <v>1081</v>
      </c>
      <c r="H33" s="8" t="s">
        <v>60</v>
      </c>
      <c r="I33" s="8"/>
      <c r="J33" s="8"/>
      <c r="K33" s="47">
        <v>0.1</v>
      </c>
      <c r="L33" s="38">
        <v>100</v>
      </c>
      <c r="M33" s="47">
        <v>0.2</v>
      </c>
      <c r="N33" s="38">
        <f>'Labour Comparison'!L12</f>
        <v>100</v>
      </c>
      <c r="O33" s="53">
        <f>SUMIF('Rate Analysis'!B:B,C33,'Rate Analysis'!Q:Q)</f>
        <v>32534.400000000001</v>
      </c>
      <c r="P33" s="53">
        <f>N33*O33</f>
        <v>3253440</v>
      </c>
    </row>
    <row r="34" spans="1:16" x14ac:dyDescent="0.35">
      <c r="A34" s="8">
        <v>33</v>
      </c>
      <c r="B34" s="8" t="s">
        <v>1118</v>
      </c>
      <c r="C34" s="8" t="s">
        <v>1496</v>
      </c>
      <c r="D34" s="8" t="s">
        <v>114</v>
      </c>
      <c r="E34" s="8" t="s">
        <v>235</v>
      </c>
      <c r="F34" s="8"/>
      <c r="G34" s="13" t="s">
        <v>1093</v>
      </c>
      <c r="H34" s="8" t="s">
        <v>60</v>
      </c>
      <c r="I34" s="8"/>
      <c r="J34" s="8"/>
      <c r="K34" s="47">
        <v>0.1</v>
      </c>
      <c r="L34" s="38">
        <v>100</v>
      </c>
      <c r="M34" s="47">
        <v>0.2</v>
      </c>
      <c r="N34" s="38">
        <f>'Labour Comparison'!L13</f>
        <v>100</v>
      </c>
      <c r="O34" s="53">
        <f>SUMIF('Rate Analysis'!B:B,C34,'Rate Analysis'!Q:Q)</f>
        <v>32474.400000000001</v>
      </c>
      <c r="P34" s="53">
        <f>N34*O34</f>
        <v>3247440</v>
      </c>
    </row>
    <row r="35" spans="1:16" x14ac:dyDescent="0.35">
      <c r="A35" s="8">
        <v>34</v>
      </c>
      <c r="B35" s="8" t="s">
        <v>1475</v>
      </c>
      <c r="C35" s="8" t="s">
        <v>1509</v>
      </c>
      <c r="D35" s="8" t="s">
        <v>123</v>
      </c>
      <c r="E35" s="8" t="s">
        <v>1508</v>
      </c>
      <c r="F35" s="8"/>
      <c r="G35" s="13" t="s">
        <v>1125</v>
      </c>
      <c r="H35" s="8" t="s">
        <v>1147</v>
      </c>
      <c r="I35" s="8"/>
      <c r="J35" s="8"/>
      <c r="K35" s="47">
        <v>0</v>
      </c>
      <c r="L35" s="38">
        <v>100000</v>
      </c>
      <c r="M35" s="47">
        <v>0</v>
      </c>
      <c r="N35" s="38">
        <v>100000</v>
      </c>
      <c r="O35" s="53">
        <f>SUMIF('Rate Analysis'!B:B,C35,'Rate Analysis'!Q:Q)</f>
        <v>1</v>
      </c>
      <c r="P35" s="53">
        <f>N35*O35</f>
        <v>100000</v>
      </c>
    </row>
    <row r="36" spans="1:16" x14ac:dyDescent="0.35">
      <c r="A36" s="8">
        <v>35</v>
      </c>
      <c r="B36" s="8" t="s">
        <v>1476</v>
      </c>
      <c r="C36" s="8" t="s">
        <v>1510</v>
      </c>
      <c r="D36" s="8" t="s">
        <v>123</v>
      </c>
      <c r="E36" s="8" t="s">
        <v>1508</v>
      </c>
      <c r="F36" s="8"/>
      <c r="G36" s="13" t="s">
        <v>1126</v>
      </c>
      <c r="H36" s="8" t="s">
        <v>1147</v>
      </c>
      <c r="I36" s="8"/>
      <c r="J36" s="8"/>
      <c r="K36" s="47">
        <v>0</v>
      </c>
      <c r="L36" s="38">
        <v>100000</v>
      </c>
      <c r="M36" s="47">
        <v>0</v>
      </c>
      <c r="N36" s="38">
        <v>100000</v>
      </c>
      <c r="O36" s="53">
        <f>SUMIF('Rate Analysis'!B:B,C36,'Rate Analysis'!Q:Q)</f>
        <v>1</v>
      </c>
      <c r="P36" s="53">
        <f>N36*O36</f>
        <v>100000</v>
      </c>
    </row>
    <row r="37" spans="1:16" x14ac:dyDescent="0.35">
      <c r="A37" s="8">
        <v>36</v>
      </c>
      <c r="B37" s="8" t="s">
        <v>1477</v>
      </c>
      <c r="C37" s="8" t="s">
        <v>1511</v>
      </c>
      <c r="D37" s="8" t="s">
        <v>123</v>
      </c>
      <c r="E37" s="8" t="s">
        <v>1508</v>
      </c>
      <c r="F37" s="8"/>
      <c r="G37" s="41" t="s">
        <v>1127</v>
      </c>
      <c r="H37" s="8" t="s">
        <v>1147</v>
      </c>
      <c r="I37" s="8"/>
      <c r="J37" s="8"/>
      <c r="K37" s="47">
        <v>0</v>
      </c>
      <c r="L37" s="38">
        <v>100000</v>
      </c>
      <c r="M37" s="47">
        <v>0</v>
      </c>
      <c r="N37" s="38">
        <v>100000</v>
      </c>
      <c r="O37" s="53">
        <f>SUMIF('Rate Analysis'!B:B,C37,'Rate Analysis'!Q:Q)</f>
        <v>1</v>
      </c>
      <c r="P37" s="53">
        <f>N37*O37</f>
        <v>100000</v>
      </c>
    </row>
    <row r="38" spans="1:16" x14ac:dyDescent="0.35">
      <c r="A38" s="8">
        <v>37</v>
      </c>
      <c r="B38" s="8" t="s">
        <v>1478</v>
      </c>
      <c r="C38" s="8" t="s">
        <v>1512</v>
      </c>
      <c r="D38" s="8" t="s">
        <v>123</v>
      </c>
      <c r="E38" s="8" t="s">
        <v>1508</v>
      </c>
      <c r="F38" s="8"/>
      <c r="G38" s="41" t="s">
        <v>1128</v>
      </c>
      <c r="H38" s="8" t="s">
        <v>1147</v>
      </c>
      <c r="I38" s="8"/>
      <c r="J38" s="8"/>
      <c r="K38" s="47">
        <v>0</v>
      </c>
      <c r="L38" s="38">
        <v>100000</v>
      </c>
      <c r="M38" s="47">
        <v>0</v>
      </c>
      <c r="N38" s="38">
        <v>100000</v>
      </c>
      <c r="O38" s="53">
        <f>SUMIF('Rate Analysis'!B:B,C38,'Rate Analysis'!Q:Q)</f>
        <v>1</v>
      </c>
      <c r="P38" s="53">
        <f>N38*O38</f>
        <v>100000</v>
      </c>
    </row>
    <row r="39" spans="1:16" x14ac:dyDescent="0.35">
      <c r="A39" s="8">
        <v>38</v>
      </c>
      <c r="B39" s="8" t="s">
        <v>1479</v>
      </c>
      <c r="C39" s="8" t="s">
        <v>1513</v>
      </c>
      <c r="D39" s="8" t="s">
        <v>123</v>
      </c>
      <c r="E39" s="8" t="s">
        <v>1508</v>
      </c>
      <c r="F39" s="8"/>
      <c r="G39" s="41" t="s">
        <v>1129</v>
      </c>
      <c r="H39" s="8" t="s">
        <v>1147</v>
      </c>
      <c r="I39" s="8"/>
      <c r="J39" s="8"/>
      <c r="K39" s="47">
        <v>0</v>
      </c>
      <c r="L39" s="38">
        <v>100000</v>
      </c>
      <c r="M39" s="47">
        <v>0</v>
      </c>
      <c r="N39" s="38">
        <v>100000</v>
      </c>
      <c r="O39" s="53">
        <f>SUMIF('Rate Analysis'!B:B,C39,'Rate Analysis'!Q:Q)</f>
        <v>1</v>
      </c>
      <c r="P39" s="53">
        <f>N39*O39</f>
        <v>100000</v>
      </c>
    </row>
    <row r="40" spans="1:16" x14ac:dyDescent="0.35">
      <c r="A40" s="8">
        <v>39</v>
      </c>
      <c r="B40" s="8" t="s">
        <v>1480</v>
      </c>
      <c r="C40" s="8" t="s">
        <v>1514</v>
      </c>
      <c r="D40" s="8" t="s">
        <v>123</v>
      </c>
      <c r="E40" s="8" t="s">
        <v>1508</v>
      </c>
      <c r="F40" s="8"/>
      <c r="G40" s="41" t="s">
        <v>1130</v>
      </c>
      <c r="H40" s="8" t="s">
        <v>1147</v>
      </c>
      <c r="I40" s="8"/>
      <c r="J40" s="8"/>
      <c r="K40" s="47">
        <v>0</v>
      </c>
      <c r="L40" s="38">
        <v>100000</v>
      </c>
      <c r="M40" s="47">
        <v>0</v>
      </c>
      <c r="N40" s="38">
        <v>100000</v>
      </c>
      <c r="O40" s="53">
        <f>SUMIF('Rate Analysis'!B:B,C40,'Rate Analysis'!Q:Q)</f>
        <v>1</v>
      </c>
      <c r="P40" s="53">
        <f>N40*O40</f>
        <v>100000</v>
      </c>
    </row>
    <row r="41" spans="1:16" x14ac:dyDescent="0.35">
      <c r="A41" s="8">
        <v>40</v>
      </c>
      <c r="B41" s="8" t="s">
        <v>1481</v>
      </c>
      <c r="C41" s="8" t="s">
        <v>1515</v>
      </c>
      <c r="D41" s="8" t="s">
        <v>123</v>
      </c>
      <c r="E41" s="8" t="s">
        <v>1508</v>
      </c>
      <c r="F41" s="8"/>
      <c r="G41" s="41" t="s">
        <v>1131</v>
      </c>
      <c r="H41" s="8" t="s">
        <v>1147</v>
      </c>
      <c r="I41" s="8"/>
      <c r="J41" s="8"/>
      <c r="K41" s="47">
        <v>0</v>
      </c>
      <c r="L41" s="38">
        <v>100000</v>
      </c>
      <c r="M41" s="47">
        <v>0</v>
      </c>
      <c r="N41" s="38">
        <v>100000</v>
      </c>
      <c r="O41" s="53">
        <f>SUMIF('Rate Analysis'!B:B,C41,'Rate Analysis'!Q:Q)</f>
        <v>1</v>
      </c>
      <c r="P41" s="53">
        <f>N41*O41</f>
        <v>100000</v>
      </c>
    </row>
    <row r="42" spans="1:16" x14ac:dyDescent="0.35">
      <c r="A42" s="8">
        <v>41</v>
      </c>
      <c r="B42" s="8" t="s">
        <v>1482</v>
      </c>
      <c r="C42" s="8" t="s">
        <v>1516</v>
      </c>
      <c r="D42" s="8" t="s">
        <v>123</v>
      </c>
      <c r="E42" s="8" t="s">
        <v>1508</v>
      </c>
      <c r="F42" s="8"/>
      <c r="G42" s="41" t="s">
        <v>1132</v>
      </c>
      <c r="H42" s="8" t="s">
        <v>1147</v>
      </c>
      <c r="I42" s="8"/>
      <c r="J42" s="8"/>
      <c r="K42" s="47">
        <v>0</v>
      </c>
      <c r="L42" s="38">
        <v>100000</v>
      </c>
      <c r="M42" s="47">
        <v>0</v>
      </c>
      <c r="N42" s="38">
        <v>100000</v>
      </c>
      <c r="O42" s="53">
        <f>SUMIF('Rate Analysis'!B:B,C42,'Rate Analysis'!Q:Q)</f>
        <v>1</v>
      </c>
      <c r="P42" s="53">
        <f>N42*O42</f>
        <v>100000</v>
      </c>
    </row>
    <row r="43" spans="1:16" x14ac:dyDescent="0.35">
      <c r="A43" s="8">
        <v>42</v>
      </c>
      <c r="B43" s="8" t="s">
        <v>1483</v>
      </c>
      <c r="C43" s="8" t="s">
        <v>1517</v>
      </c>
      <c r="D43" s="8" t="s">
        <v>123</v>
      </c>
      <c r="E43" s="8" t="s">
        <v>1508</v>
      </c>
      <c r="F43" s="8"/>
      <c r="G43" s="41" t="s">
        <v>1133</v>
      </c>
      <c r="H43" s="8" t="s">
        <v>1147</v>
      </c>
      <c r="I43" s="8"/>
      <c r="J43" s="8"/>
      <c r="K43" s="47">
        <v>0</v>
      </c>
      <c r="L43" s="38">
        <v>100000</v>
      </c>
      <c r="M43" s="47">
        <v>0</v>
      </c>
      <c r="N43" s="38">
        <v>100000</v>
      </c>
      <c r="O43" s="53">
        <f>SUMIF('Rate Analysis'!B:B,C43,'Rate Analysis'!Q:Q)</f>
        <v>1</v>
      </c>
      <c r="P43" s="53">
        <f>N43*O43</f>
        <v>100000</v>
      </c>
    </row>
    <row r="44" spans="1:16" x14ac:dyDescent="0.35">
      <c r="A44" s="8">
        <v>43</v>
      </c>
      <c r="B44" s="8" t="s">
        <v>1484</v>
      </c>
      <c r="C44" s="8" t="s">
        <v>1518</v>
      </c>
      <c r="D44" s="8" t="s">
        <v>123</v>
      </c>
      <c r="E44" s="8" t="s">
        <v>71</v>
      </c>
      <c r="F44" s="8"/>
      <c r="G44" s="41" t="s">
        <v>1238</v>
      </c>
      <c r="H44" s="8" t="s">
        <v>1147</v>
      </c>
      <c r="I44" s="8"/>
      <c r="J44" s="8"/>
      <c r="K44" s="47">
        <v>0</v>
      </c>
      <c r="L44" s="38">
        <v>100000</v>
      </c>
      <c r="M44" s="47">
        <v>0</v>
      </c>
      <c r="N44" s="38">
        <v>100000</v>
      </c>
      <c r="O44" s="53">
        <f>SUMIF('Rate Analysis'!B:B,C44,'Rate Analysis'!Q:Q)</f>
        <v>1</v>
      </c>
      <c r="P44" s="53">
        <f>N44*O44</f>
        <v>100000</v>
      </c>
    </row>
    <row r="45" spans="1:16" x14ac:dyDescent="0.35">
      <c r="A45" s="8">
        <v>44</v>
      </c>
      <c r="B45" s="8" t="s">
        <v>1502</v>
      </c>
      <c r="C45" s="8" t="s">
        <v>1519</v>
      </c>
      <c r="D45" s="8" t="s">
        <v>123</v>
      </c>
      <c r="E45" s="8" t="s">
        <v>71</v>
      </c>
      <c r="F45" s="8"/>
      <c r="G45" s="41" t="s">
        <v>1239</v>
      </c>
      <c r="H45" s="8" t="s">
        <v>1147</v>
      </c>
      <c r="I45" s="8"/>
      <c r="J45" s="8"/>
      <c r="K45" s="47">
        <v>0</v>
      </c>
      <c r="L45" s="38">
        <v>100000</v>
      </c>
      <c r="M45" s="47">
        <v>0</v>
      </c>
      <c r="N45" s="38">
        <v>100000</v>
      </c>
      <c r="O45" s="53">
        <f>SUMIF('Rate Analysis'!B:B,C45,'Rate Analysis'!Q:Q)</f>
        <v>1</v>
      </c>
      <c r="P45" s="53">
        <f>N45*O45</f>
        <v>100000</v>
      </c>
    </row>
    <row r="46" spans="1:16" x14ac:dyDescent="0.35">
      <c r="A46" s="8">
        <v>45</v>
      </c>
      <c r="B46" s="8" t="s">
        <v>1503</v>
      </c>
      <c r="C46" s="8" t="s">
        <v>1520</v>
      </c>
      <c r="D46" s="8" t="s">
        <v>123</v>
      </c>
      <c r="E46" s="8" t="s">
        <v>71</v>
      </c>
      <c r="F46" s="8"/>
      <c r="G46" s="41" t="s">
        <v>1240</v>
      </c>
      <c r="H46" s="8" t="s">
        <v>1147</v>
      </c>
      <c r="I46" s="8"/>
      <c r="J46" s="8"/>
      <c r="K46" s="47">
        <v>0</v>
      </c>
      <c r="L46" s="38">
        <v>100000</v>
      </c>
      <c r="M46" s="47">
        <v>0</v>
      </c>
      <c r="N46" s="38">
        <v>100000</v>
      </c>
      <c r="O46" s="53">
        <f>SUMIF('Rate Analysis'!B:B,C46,'Rate Analysis'!Q:Q)</f>
        <v>1</v>
      </c>
      <c r="P46" s="53">
        <f>N46*O46</f>
        <v>100000</v>
      </c>
    </row>
    <row r="47" spans="1:16" x14ac:dyDescent="0.35">
      <c r="A47" s="8">
        <v>46</v>
      </c>
      <c r="B47" s="8" t="s">
        <v>1504</v>
      </c>
      <c r="C47" s="8" t="s">
        <v>1521</v>
      </c>
      <c r="D47" s="8" t="s">
        <v>123</v>
      </c>
      <c r="E47" s="8" t="s">
        <v>71</v>
      </c>
      <c r="F47" s="8"/>
      <c r="G47" s="41" t="s">
        <v>1241</v>
      </c>
      <c r="H47" s="8" t="s">
        <v>1147</v>
      </c>
      <c r="I47" s="8"/>
      <c r="J47" s="8"/>
      <c r="K47" s="47">
        <v>0</v>
      </c>
      <c r="L47" s="38">
        <v>100000</v>
      </c>
      <c r="M47" s="47">
        <v>0</v>
      </c>
      <c r="N47" s="38">
        <v>100000</v>
      </c>
      <c r="O47" s="53">
        <f>SUMIF('Rate Analysis'!B:B,C47,'Rate Analysis'!Q:Q)</f>
        <v>1</v>
      </c>
      <c r="P47" s="53">
        <f>N47*O47</f>
        <v>100000</v>
      </c>
    </row>
    <row r="48" spans="1:16" x14ac:dyDescent="0.35">
      <c r="A48" s="8">
        <v>47</v>
      </c>
      <c r="B48" s="8" t="s">
        <v>1505</v>
      </c>
      <c r="C48" s="8" t="s">
        <v>1522</v>
      </c>
      <c r="D48" s="8" t="s">
        <v>123</v>
      </c>
      <c r="E48" s="8" t="s">
        <v>71</v>
      </c>
      <c r="F48" s="8"/>
      <c r="G48" s="41" t="s">
        <v>1242</v>
      </c>
      <c r="H48" s="8" t="s">
        <v>1147</v>
      </c>
      <c r="I48" s="8"/>
      <c r="J48" s="8"/>
      <c r="K48" s="47">
        <v>0</v>
      </c>
      <c r="L48" s="38">
        <v>100000</v>
      </c>
      <c r="M48" s="47">
        <v>0</v>
      </c>
      <c r="N48" s="38">
        <v>100000</v>
      </c>
      <c r="O48" s="53">
        <f>SUMIF('Rate Analysis'!B:B,C48,'Rate Analysis'!Q:Q)</f>
        <v>1</v>
      </c>
      <c r="P48" s="53">
        <f>N48*O48</f>
        <v>100000</v>
      </c>
    </row>
    <row r="49" spans="1:16" x14ac:dyDescent="0.35">
      <c r="A49" s="8">
        <v>48</v>
      </c>
      <c r="B49" s="8" t="s">
        <v>1506</v>
      </c>
      <c r="C49" s="8" t="s">
        <v>1523</v>
      </c>
      <c r="D49" s="8" t="s">
        <v>123</v>
      </c>
      <c r="E49" s="8" t="s">
        <v>71</v>
      </c>
      <c r="F49" s="8"/>
      <c r="G49" s="41" t="s">
        <v>1243</v>
      </c>
      <c r="H49" s="8" t="s">
        <v>1147</v>
      </c>
      <c r="I49" s="8"/>
      <c r="J49" s="8"/>
      <c r="K49" s="47">
        <v>0</v>
      </c>
      <c r="L49" s="38">
        <v>100000</v>
      </c>
      <c r="M49" s="47">
        <v>0</v>
      </c>
      <c r="N49" s="38">
        <v>100000</v>
      </c>
      <c r="O49" s="53">
        <f>SUMIF('Rate Analysis'!B:B,C49,'Rate Analysis'!Q:Q)</f>
        <v>1</v>
      </c>
      <c r="P49" s="53">
        <f>N49*O49</f>
        <v>100000</v>
      </c>
    </row>
    <row r="50" spans="1:16" x14ac:dyDescent="0.35">
      <c r="A50" s="8">
        <v>49</v>
      </c>
      <c r="B50" s="8" t="s">
        <v>1507</v>
      </c>
      <c r="C50" s="8" t="s">
        <v>1524</v>
      </c>
      <c r="D50" s="8" t="s">
        <v>123</v>
      </c>
      <c r="E50" s="8" t="s">
        <v>71</v>
      </c>
      <c r="F50" s="8"/>
      <c r="G50" s="41" t="s">
        <v>1244</v>
      </c>
      <c r="H50" s="8" t="s">
        <v>1147</v>
      </c>
      <c r="I50" s="8"/>
      <c r="J50" s="8"/>
      <c r="K50" s="47">
        <v>0</v>
      </c>
      <c r="L50" s="38">
        <v>100000</v>
      </c>
      <c r="M50" s="47">
        <v>0</v>
      </c>
      <c r="N50" s="38">
        <v>100000</v>
      </c>
      <c r="O50" s="53">
        <f>SUMIF('Rate Analysis'!B:B,C50,'Rate Analysis'!Q:Q)</f>
        <v>1</v>
      </c>
      <c r="P50" s="53">
        <f>N50*O50</f>
        <v>100000</v>
      </c>
    </row>
    <row r="51" spans="1:16" x14ac:dyDescent="0.35">
      <c r="A51" s="8">
        <v>50</v>
      </c>
      <c r="B51" s="8"/>
      <c r="C51" s="8" t="s">
        <v>1557</v>
      </c>
      <c r="D51" s="8" t="s">
        <v>1558</v>
      </c>
      <c r="E51" s="8" t="s">
        <v>211</v>
      </c>
      <c r="F51" s="8"/>
      <c r="G51" s="41" t="s">
        <v>1189</v>
      </c>
      <c r="H51" s="8" t="s">
        <v>73</v>
      </c>
      <c r="I51" s="8"/>
      <c r="J51" s="8"/>
      <c r="K51" s="47">
        <v>0</v>
      </c>
      <c r="L51" s="38"/>
      <c r="M51" s="47">
        <v>0</v>
      </c>
      <c r="N51" s="38">
        <f>'Vendor Comparison'!L3</f>
        <v>123500</v>
      </c>
      <c r="O51" s="53">
        <f>SUMIF('Rate Analysis'!B:B,'Rate Analysis'!B706,'Rate Analysis'!Q:Q)</f>
        <v>1</v>
      </c>
      <c r="P51" s="53">
        <f>N51*O51</f>
        <v>123500</v>
      </c>
    </row>
    <row r="52" spans="1:16" x14ac:dyDescent="0.35">
      <c r="A52" s="8">
        <v>51</v>
      </c>
      <c r="B52" s="8"/>
      <c r="C52" s="8" t="s">
        <v>1559</v>
      </c>
      <c r="D52" s="8" t="s">
        <v>1558</v>
      </c>
      <c r="E52" s="8" t="s">
        <v>1432</v>
      </c>
      <c r="F52" s="8"/>
      <c r="G52" s="41" t="s">
        <v>1190</v>
      </c>
      <c r="H52" s="8" t="s">
        <v>73</v>
      </c>
      <c r="I52" s="8"/>
      <c r="J52" s="8"/>
      <c r="K52" s="47">
        <v>0</v>
      </c>
      <c r="L52" s="8"/>
      <c r="M52" s="47">
        <v>0</v>
      </c>
      <c r="N52" s="38">
        <f>'Vendor Comparison'!L10</f>
        <v>150</v>
      </c>
      <c r="O52" s="53">
        <f>SUMIF('Rate Analysis'!B:B,C52,'Rate Analysis'!Q:Q)</f>
        <v>6850</v>
      </c>
      <c r="P52" s="53">
        <f>N52*O52</f>
        <v>1027500</v>
      </c>
    </row>
    <row r="53" spans="1:16" x14ac:dyDescent="0.35">
      <c r="A53" s="8">
        <v>52</v>
      </c>
      <c r="B53" s="8"/>
      <c r="C53" s="8" t="s">
        <v>1560</v>
      </c>
      <c r="D53" s="8" t="s">
        <v>1558</v>
      </c>
      <c r="E53" s="8" t="s">
        <v>1432</v>
      </c>
      <c r="F53" s="8"/>
      <c r="G53" s="41" t="s">
        <v>1191</v>
      </c>
      <c r="H53" s="8" t="s">
        <v>73</v>
      </c>
      <c r="I53" s="8"/>
      <c r="J53" s="8"/>
      <c r="K53" s="47">
        <v>0</v>
      </c>
      <c r="L53" s="8"/>
      <c r="M53" s="47">
        <v>0</v>
      </c>
      <c r="N53" s="38">
        <f>'Vendor Comparison'!L11</f>
        <v>180</v>
      </c>
      <c r="O53" s="53">
        <f>SUMIF('Rate Analysis'!B:B,C53,'Rate Analysis'!Q:Q)</f>
        <v>1400</v>
      </c>
      <c r="P53" s="53">
        <f>N53*O53</f>
        <v>252000</v>
      </c>
    </row>
    <row r="54" spans="1:16" x14ac:dyDescent="0.35">
      <c r="A54" s="8">
        <v>53</v>
      </c>
      <c r="B54" s="8"/>
      <c r="C54" s="8" t="s">
        <v>1561</v>
      </c>
      <c r="D54" s="8" t="s">
        <v>1558</v>
      </c>
      <c r="E54" s="8" t="s">
        <v>1432</v>
      </c>
      <c r="F54" s="8"/>
      <c r="G54" s="41" t="s">
        <v>1192</v>
      </c>
      <c r="H54" s="8" t="s">
        <v>73</v>
      </c>
      <c r="I54" s="8"/>
      <c r="J54" s="8"/>
      <c r="K54" s="47">
        <v>0</v>
      </c>
      <c r="L54" s="8"/>
      <c r="M54" s="47">
        <v>0</v>
      </c>
      <c r="N54" s="38">
        <f>'Vendor Comparison'!L12</f>
        <v>190</v>
      </c>
      <c r="O54" s="53">
        <f>SUMIF('Rate Analysis'!B:B,C54,'Rate Analysis'!Q:Q)</f>
        <v>2000</v>
      </c>
      <c r="P54" s="53">
        <f>N54*O54</f>
        <v>380000</v>
      </c>
    </row>
    <row r="55" spans="1:16" x14ac:dyDescent="0.35">
      <c r="A55" s="8">
        <v>54</v>
      </c>
      <c r="B55" s="8"/>
      <c r="C55" s="8" t="s">
        <v>1562</v>
      </c>
      <c r="D55" s="8" t="s">
        <v>1558</v>
      </c>
      <c r="E55" s="8" t="s">
        <v>1433</v>
      </c>
      <c r="F55" s="8"/>
      <c r="G55" s="41" t="s">
        <v>1194</v>
      </c>
      <c r="H55" s="8" t="s">
        <v>73</v>
      </c>
      <c r="I55" s="8"/>
      <c r="J55" s="8"/>
      <c r="K55" s="47">
        <v>0</v>
      </c>
      <c r="L55" s="8"/>
      <c r="M55" s="47">
        <v>0</v>
      </c>
      <c r="N55" s="38">
        <f>'Vendor Comparison'!L19</f>
        <v>80</v>
      </c>
      <c r="O55" s="53">
        <f>SUMIF('Rate Analysis'!B:B,C55,'Rate Analysis'!Q:Q)</f>
        <v>6850</v>
      </c>
      <c r="P55" s="53">
        <f>N55*O55</f>
        <v>548000</v>
      </c>
    </row>
    <row r="56" spans="1:16" x14ac:dyDescent="0.35">
      <c r="A56" s="8">
        <v>55</v>
      </c>
      <c r="B56" s="8"/>
      <c r="C56" s="8" t="s">
        <v>1563</v>
      </c>
      <c r="D56" s="8" t="s">
        <v>1558</v>
      </c>
      <c r="E56" s="8" t="s">
        <v>1433</v>
      </c>
      <c r="F56" s="8"/>
      <c r="G56" s="41" t="s">
        <v>1193</v>
      </c>
      <c r="H56" s="8" t="s">
        <v>73</v>
      </c>
      <c r="I56" s="8"/>
      <c r="J56" s="8"/>
      <c r="K56" s="47">
        <v>0</v>
      </c>
      <c r="L56" s="8"/>
      <c r="M56" s="47">
        <v>0</v>
      </c>
      <c r="N56" s="38">
        <f>'Vendor Comparison'!L20</f>
        <v>50</v>
      </c>
      <c r="O56" s="53">
        <f>SUMIF('Rate Analysis'!B:B,C56,'Rate Analysis'!Q:Q)</f>
        <v>1400</v>
      </c>
      <c r="P56" s="53">
        <f>N56*O56</f>
        <v>70000</v>
      </c>
    </row>
    <row r="57" spans="1:16" x14ac:dyDescent="0.35">
      <c r="A57" s="8">
        <v>56</v>
      </c>
      <c r="B57" s="8"/>
      <c r="C57" s="8" t="s">
        <v>1564</v>
      </c>
      <c r="D57" s="8" t="s">
        <v>1558</v>
      </c>
      <c r="E57" s="8" t="s">
        <v>1433</v>
      </c>
      <c r="F57" s="8"/>
      <c r="G57" s="41" t="s">
        <v>1195</v>
      </c>
      <c r="H57" s="8" t="s">
        <v>73</v>
      </c>
      <c r="I57" s="8"/>
      <c r="J57" s="8"/>
      <c r="K57" s="47">
        <v>0</v>
      </c>
      <c r="L57" s="8"/>
      <c r="M57" s="47">
        <v>0</v>
      </c>
      <c r="N57" s="38">
        <f>'Vendor Comparison'!L21</f>
        <v>80</v>
      </c>
      <c r="O57" s="53">
        <f>SUMIF('Rate Analysis'!B:B,C57,'Rate Analysis'!Q:Q)</f>
        <v>2000</v>
      </c>
      <c r="P57" s="53">
        <f>N57*O57</f>
        <v>160000</v>
      </c>
    </row>
    <row r="58" spans="1:16" x14ac:dyDescent="0.35">
      <c r="A58" s="8">
        <v>57</v>
      </c>
      <c r="B58" s="8"/>
      <c r="C58" s="8" t="s">
        <v>1565</v>
      </c>
      <c r="D58" s="8" t="s">
        <v>1558</v>
      </c>
      <c r="E58" s="8" t="s">
        <v>1431</v>
      </c>
      <c r="F58" s="8"/>
      <c r="G58" s="41" t="s">
        <v>1208</v>
      </c>
      <c r="H58" s="8" t="s">
        <v>73</v>
      </c>
      <c r="I58" s="8"/>
      <c r="J58" s="8"/>
      <c r="K58" s="47">
        <v>0</v>
      </c>
      <c r="L58" s="8"/>
      <c r="M58" s="47">
        <v>0</v>
      </c>
      <c r="N58" s="38">
        <f>'Vendor Comparison'!L28</f>
        <v>125</v>
      </c>
      <c r="O58" s="53">
        <f>SUMIF('Rate Analysis'!B:B,C58,'Rate Analysis'!Q:Q)</f>
        <v>680</v>
      </c>
      <c r="P58" s="53">
        <f>N58*O58</f>
        <v>85000</v>
      </c>
    </row>
    <row r="59" spans="1:16" x14ac:dyDescent="0.35">
      <c r="A59" s="8">
        <v>58</v>
      </c>
      <c r="B59" s="8"/>
      <c r="C59" s="8" t="s">
        <v>1566</v>
      </c>
      <c r="D59" s="8" t="s">
        <v>1558</v>
      </c>
      <c r="E59" s="8" t="s">
        <v>1431</v>
      </c>
      <c r="F59" s="8"/>
      <c r="G59" s="41" t="s">
        <v>1207</v>
      </c>
      <c r="H59" s="8" t="s">
        <v>73</v>
      </c>
      <c r="I59" s="8"/>
      <c r="J59" s="8"/>
      <c r="K59" s="47">
        <v>0</v>
      </c>
      <c r="L59" s="8"/>
      <c r="M59" s="47">
        <v>0</v>
      </c>
      <c r="N59" s="38">
        <f>'Vendor Comparison'!L29</f>
        <v>100</v>
      </c>
      <c r="O59" s="53">
        <f>SUMIF('Rate Analysis'!B:B,C59,'Rate Analysis'!Q:Q)</f>
        <v>680</v>
      </c>
      <c r="P59" s="53">
        <f>N59*O59</f>
        <v>68000</v>
      </c>
    </row>
    <row r="60" spans="1:16" x14ac:dyDescent="0.35">
      <c r="A60" s="8">
        <v>59</v>
      </c>
      <c r="B60" s="8"/>
      <c r="C60" s="8" t="s">
        <v>1567</v>
      </c>
      <c r="D60" s="8" t="s">
        <v>1558</v>
      </c>
      <c r="E60" s="8" t="s">
        <v>1431</v>
      </c>
      <c r="F60" s="8"/>
      <c r="G60" s="41" t="s">
        <v>1209</v>
      </c>
      <c r="H60" s="8" t="s">
        <v>73</v>
      </c>
      <c r="I60" s="8"/>
      <c r="J60" s="8"/>
      <c r="K60" s="47">
        <v>0</v>
      </c>
      <c r="L60" s="8"/>
      <c r="M60" s="47">
        <v>0</v>
      </c>
      <c r="N60" s="38">
        <f>'Vendor Comparison'!L30</f>
        <v>50</v>
      </c>
      <c r="O60" s="53">
        <f>SUMIF('Rate Analysis'!B:B,C60,'Rate Analysis'!Q:Q)</f>
        <v>680</v>
      </c>
      <c r="P60" s="53">
        <f>N60*O60</f>
        <v>34000</v>
      </c>
    </row>
    <row r="61" spans="1:16" x14ac:dyDescent="0.35">
      <c r="A61" s="8">
        <v>60</v>
      </c>
      <c r="B61" s="8"/>
      <c r="C61" s="8" t="s">
        <v>1568</v>
      </c>
      <c r="D61" s="8" t="s">
        <v>1558</v>
      </c>
      <c r="E61" s="8" t="s">
        <v>1310</v>
      </c>
      <c r="F61" s="8"/>
      <c r="G61" s="41" t="s">
        <v>1214</v>
      </c>
      <c r="H61" s="8" t="s">
        <v>73</v>
      </c>
      <c r="I61" s="8"/>
      <c r="J61" s="8"/>
      <c r="K61" s="47">
        <v>0</v>
      </c>
      <c r="L61" s="8"/>
      <c r="M61" s="47">
        <v>0</v>
      </c>
      <c r="N61" s="38">
        <f>'Vendor Comparison'!L37</f>
        <v>125</v>
      </c>
      <c r="O61" s="53">
        <f>SUMIF('Rate Analysis'!B:B,C61,'Rate Analysis'!Q:Q)</f>
        <v>1500</v>
      </c>
      <c r="P61" s="53">
        <f>N61*O61</f>
        <v>187500</v>
      </c>
    </row>
    <row r="62" spans="1:16" x14ac:dyDescent="0.35">
      <c r="A62" s="8">
        <v>61</v>
      </c>
      <c r="B62" s="8"/>
      <c r="C62" s="8" t="s">
        <v>1569</v>
      </c>
      <c r="D62" s="8" t="s">
        <v>1558</v>
      </c>
      <c r="E62" s="8" t="s">
        <v>1338</v>
      </c>
      <c r="F62" s="8"/>
      <c r="G62" s="41" t="s">
        <v>1215</v>
      </c>
      <c r="H62" s="8" t="s">
        <v>73</v>
      </c>
      <c r="I62" s="8"/>
      <c r="J62" s="8"/>
      <c r="K62" s="47">
        <v>0</v>
      </c>
      <c r="L62" s="8"/>
      <c r="M62" s="47">
        <v>0</v>
      </c>
      <c r="N62" s="38">
        <f>'Vendor Comparison'!L44</f>
        <v>45</v>
      </c>
      <c r="O62" s="53">
        <f>SUMIF('Rate Analysis'!B:B,C62,'Rate Analysis'!Q:Q)</f>
        <v>3720</v>
      </c>
      <c r="P62" s="53">
        <f>N62*O62</f>
        <v>167400</v>
      </c>
    </row>
    <row r="63" spans="1:16" x14ac:dyDescent="0.35">
      <c r="A63" s="8">
        <v>62</v>
      </c>
      <c r="B63" s="8"/>
      <c r="C63" s="8" t="s">
        <v>1570</v>
      </c>
      <c r="D63" s="8" t="s">
        <v>1558</v>
      </c>
      <c r="E63" s="8" t="s">
        <v>1338</v>
      </c>
      <c r="F63" s="8"/>
      <c r="G63" s="41" t="s">
        <v>1216</v>
      </c>
      <c r="H63" s="8" t="s">
        <v>73</v>
      </c>
      <c r="I63" s="8"/>
      <c r="J63" s="8"/>
      <c r="K63" s="47">
        <v>0</v>
      </c>
      <c r="L63" s="8"/>
      <c r="M63" s="47">
        <v>0</v>
      </c>
      <c r="N63" s="38">
        <f>'Vendor Comparison'!L45</f>
        <v>45</v>
      </c>
      <c r="O63" s="53">
        <f>SUMIF('Rate Analysis'!B:B,C63,'Rate Analysis'!Q:Q)</f>
        <v>1560</v>
      </c>
      <c r="P63" s="53">
        <f>N63*O63</f>
        <v>70200</v>
      </c>
    </row>
    <row r="64" spans="1:16" x14ac:dyDescent="0.35">
      <c r="A64" s="8">
        <v>63</v>
      </c>
      <c r="B64" s="8"/>
      <c r="C64" s="8" t="s">
        <v>1571</v>
      </c>
      <c r="D64" s="8" t="s">
        <v>1558</v>
      </c>
      <c r="E64" s="8" t="s">
        <v>1338</v>
      </c>
      <c r="F64" s="8"/>
      <c r="G64" s="41" t="s">
        <v>1217</v>
      </c>
      <c r="H64" s="8" t="s">
        <v>73</v>
      </c>
      <c r="I64" s="8"/>
      <c r="J64" s="8"/>
      <c r="K64" s="47">
        <v>0</v>
      </c>
      <c r="L64" s="8"/>
      <c r="M64" s="47">
        <v>0</v>
      </c>
      <c r="N64" s="38">
        <f>'Vendor Comparison'!L46</f>
        <v>25</v>
      </c>
      <c r="O64" s="53">
        <f>SUMIF('Rate Analysis'!B:B,C64,'Rate Analysis'!Q:Q)</f>
        <v>900</v>
      </c>
      <c r="P64" s="53">
        <f>N64*O64</f>
        <v>22500</v>
      </c>
    </row>
    <row r="65" spans="1:16" x14ac:dyDescent="0.35">
      <c r="A65" s="8">
        <v>64</v>
      </c>
      <c r="B65" s="8"/>
      <c r="C65" s="8" t="s">
        <v>1572</v>
      </c>
      <c r="D65" s="8" t="s">
        <v>1558</v>
      </c>
      <c r="E65" s="8" t="s">
        <v>1431</v>
      </c>
      <c r="F65" s="8"/>
      <c r="G65" s="41" t="s">
        <v>1219</v>
      </c>
      <c r="H65" s="8" t="s">
        <v>73</v>
      </c>
      <c r="I65" s="8"/>
      <c r="J65" s="8"/>
      <c r="K65" s="47">
        <v>0</v>
      </c>
      <c r="L65" s="8"/>
      <c r="M65" s="47">
        <v>0</v>
      </c>
      <c r="N65" s="38">
        <f>'Vendor Comparison'!L53</f>
        <v>125</v>
      </c>
      <c r="O65" s="53">
        <f>SUMIF('Rate Analysis'!B:B,C65,'Rate Analysis'!Q:Q)</f>
        <v>300</v>
      </c>
      <c r="P65" s="53">
        <f>N65*O65</f>
        <v>37500</v>
      </c>
    </row>
    <row r="66" spans="1:16" x14ac:dyDescent="0.35">
      <c r="G66" s="1"/>
      <c r="K66" s="48"/>
      <c r="L66" s="54"/>
      <c r="M66" s="48"/>
      <c r="N66" s="54"/>
      <c r="O66" s="55"/>
      <c r="P66" s="55"/>
    </row>
    <row r="67" spans="1:16" x14ac:dyDescent="0.35">
      <c r="G67" s="1"/>
      <c r="K67" s="48"/>
      <c r="L67" s="54"/>
      <c r="M67" s="48"/>
      <c r="N67" s="54"/>
      <c r="O67" s="55"/>
      <c r="P67" s="55"/>
    </row>
  </sheetData>
  <autoFilter ref="A1:P69" xr:uid="{079132AA-8DF7-4BA1-A5A4-9AC38CC8E16E}"/>
  <phoneticPr fontId="4" type="noConversion"/>
  <pageMargins left="0.7" right="0.7" top="0.75" bottom="0.75" header="0.3" footer="0.3"/>
  <pageSetup scale="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ACDF-1BD8-4C7D-9808-68024ED53D68}">
  <dimension ref="A1:G21"/>
  <sheetViews>
    <sheetView view="pageBreakPreview" topLeftCell="A6" zoomScaleNormal="100" zoomScaleSheetLayoutView="100" workbookViewId="0">
      <selection activeCell="A6" sqref="A1:XFD1048576"/>
    </sheetView>
  </sheetViews>
  <sheetFormatPr defaultRowHeight="14.5" x14ac:dyDescent="0.35"/>
  <cols>
    <col min="1" max="1" width="19.1796875" bestFit="1" customWidth="1"/>
    <col min="2" max="2" width="16.1796875" bestFit="1" customWidth="1"/>
    <col min="3" max="3" width="19.36328125" bestFit="1" customWidth="1"/>
    <col min="4" max="4" width="18.90625" bestFit="1" customWidth="1"/>
    <col min="5" max="5" width="9.81640625" style="65" bestFit="1" customWidth="1"/>
    <col min="6" max="6" width="6.90625" style="65" bestFit="1" customWidth="1"/>
    <col min="7" max="7" width="10.36328125" style="65" bestFit="1" customWidth="1"/>
  </cols>
  <sheetData>
    <row r="1" spans="1:7" x14ac:dyDescent="0.35">
      <c r="A1" s="66" t="s">
        <v>137</v>
      </c>
      <c r="B1" s="66" t="s">
        <v>138</v>
      </c>
      <c r="C1" s="66" t="s">
        <v>141</v>
      </c>
      <c r="D1" s="4" t="s">
        <v>1578</v>
      </c>
      <c r="E1" s="70" t="s">
        <v>1579</v>
      </c>
      <c r="F1" s="70" t="s">
        <v>1580</v>
      </c>
      <c r="G1" s="70" t="s">
        <v>1581</v>
      </c>
    </row>
    <row r="2" spans="1:7" x14ac:dyDescent="0.35">
      <c r="A2" s="4" t="s">
        <v>114</v>
      </c>
      <c r="B2" s="4" t="s">
        <v>144</v>
      </c>
      <c r="C2" s="4" t="s">
        <v>1577</v>
      </c>
      <c r="D2" s="67">
        <v>16275380</v>
      </c>
      <c r="E2" s="68">
        <f>GETPIVOTDATA("Total Amount",$A$1,"Resource Category","Labour","Resource Type","Civil","Resource Sub-type",)/GETPIVOTDATA("Total Amount",$A$1)</f>
        <v>0.22055771579884478</v>
      </c>
      <c r="F2" s="68">
        <f>GETPIVOTDATA("Total Amount",$A$1,"Resource Category","Labour","Resource Type","Civil","Resource Sub-type",)/GETPIVOTDATA("Total Amount",$A$1)</f>
        <v>0.22055771579884478</v>
      </c>
      <c r="G2" s="69">
        <f>SUM(D2:D4)/GETPIVOTDATA("Total Amount",$A$1)</f>
        <v>0.36874857733313454</v>
      </c>
    </row>
    <row r="3" spans="1:7" x14ac:dyDescent="0.35">
      <c r="A3" s="4"/>
      <c r="B3" s="4" t="s">
        <v>235</v>
      </c>
      <c r="C3" s="4" t="s">
        <v>1577</v>
      </c>
      <c r="D3" s="67">
        <v>10926480</v>
      </c>
      <c r="E3" s="68">
        <f>GETPIVOTDATA("Total Amount",$A$1,"Resource Category","Labour","Resource Type","ID","Resource Sub-type",)/GETPIVOTDATA("Total Amount",$A$1)</f>
        <v>0.14807147178878535</v>
      </c>
      <c r="F3" s="68">
        <f>GETPIVOTDATA("Total Amount",$A$1,"Resource Category","Labour","Resource Type","ID","Resource Sub-type",)/GETPIVOTDATA("Total Amount",$A$1)</f>
        <v>0.14807147178878535</v>
      </c>
      <c r="G3" s="69"/>
    </row>
    <row r="4" spans="1:7" x14ac:dyDescent="0.35">
      <c r="A4" s="4"/>
      <c r="B4" s="4" t="s">
        <v>1092</v>
      </c>
      <c r="C4" s="4" t="s">
        <v>1577</v>
      </c>
      <c r="D4" s="67">
        <v>8810</v>
      </c>
      <c r="E4" s="68">
        <f>GETPIVOTDATA("Total Amount",$A$1,"Resource Category","Labour","Resource Type","MEP","Resource Sub-type",)/GETPIVOTDATA("Total Amount",$A$1)</f>
        <v>1.1938974550442586E-4</v>
      </c>
      <c r="F4" s="68">
        <f>GETPIVOTDATA("Total Amount",$A$1,"Resource Category","Labour","Resource Type","MEP","Resource Sub-type",)/GETPIVOTDATA("Total Amount",$A$1)</f>
        <v>1.1938974550442586E-4</v>
      </c>
      <c r="G4" s="69"/>
    </row>
    <row r="5" spans="1:7" x14ac:dyDescent="0.35">
      <c r="A5" s="4" t="s">
        <v>113</v>
      </c>
      <c r="B5" s="4" t="s">
        <v>144</v>
      </c>
      <c r="C5" s="4" t="s">
        <v>173</v>
      </c>
      <c r="D5" s="67">
        <v>22425000</v>
      </c>
      <c r="E5" s="68">
        <f>GETPIVOTDATA("Total Amount",$A$1,"Resource Category","Material","Resource Type","Civil","Resource Sub-type","Brick")/GETPIVOTDATA("Total Amount",$A$1)</f>
        <v>0.30389501054900681</v>
      </c>
      <c r="F5" s="69">
        <f>SUM(D5:D8)/GETPIVOTDATA("Total Amount",$A$1)</f>
        <v>0.54653772876553997</v>
      </c>
      <c r="G5" s="69">
        <f>SUM(D5:D12)/GETPIVOTDATA("Total Amount",$A$1)</f>
        <v>0.56575510268985718</v>
      </c>
    </row>
    <row r="6" spans="1:7" x14ac:dyDescent="0.35">
      <c r="A6" s="4"/>
      <c r="B6" s="4"/>
      <c r="C6" s="4" t="s">
        <v>145</v>
      </c>
      <c r="D6" s="67">
        <v>5222125</v>
      </c>
      <c r="E6" s="68">
        <f>GETPIVOTDATA("Total Amount",$A$1,"Resource Category","Material","Resource Type","Civil","Resource Sub-type","Cement")/GETPIVOTDATA("Total Amount",$A$1)</f>
        <v>7.0768237768705999E-2</v>
      </c>
      <c r="F6" s="69"/>
      <c r="G6" s="69"/>
    </row>
    <row r="7" spans="1:7" x14ac:dyDescent="0.35">
      <c r="A7" s="4"/>
      <c r="B7" s="4"/>
      <c r="C7" s="4" t="s">
        <v>152</v>
      </c>
      <c r="D7" s="67">
        <v>1337325</v>
      </c>
      <c r="E7" s="68">
        <f>GETPIVOTDATA("Total Amount",$A$1,"Resource Category","Material","Resource Type","Civil","Resource Sub-type","Sand")/GETPIVOTDATA("Total Amount",$A$1)</f>
        <v>1.8122916164211838E-2</v>
      </c>
      <c r="F7" s="69"/>
      <c r="G7" s="69"/>
    </row>
    <row r="8" spans="1:7" x14ac:dyDescent="0.35">
      <c r="A8" s="4"/>
      <c r="B8" s="4"/>
      <c r="C8" s="4" t="s">
        <v>169</v>
      </c>
      <c r="D8" s="67">
        <v>11345625</v>
      </c>
      <c r="E8" s="68">
        <f>GETPIVOTDATA("Total Amount",$A$1,"Resource Category","Material","Resource Type","Civil","Resource Sub-type","Water")/GETPIVOTDATA("Total Amount",$A$1)</f>
        <v>0.15375156428361539</v>
      </c>
      <c r="F8" s="69"/>
      <c r="G8" s="69"/>
    </row>
    <row r="9" spans="1:7" x14ac:dyDescent="0.35">
      <c r="A9" s="4"/>
      <c r="B9" s="4" t="s">
        <v>235</v>
      </c>
      <c r="C9" s="4" t="s">
        <v>136</v>
      </c>
      <c r="D9" s="67">
        <v>114982.63888888891</v>
      </c>
      <c r="E9" s="68">
        <f>GETPIVOTDATA("Total Amount",$A$1,"Resource Category","Material","Resource Type","ID","Resource Sub-type","Boards")/GETPIVOTDATA("Total Amount",$A$1)</f>
        <v>1.5582006804054195E-3</v>
      </c>
      <c r="F9" s="69">
        <f>SUM(D9:D12)/GETPIVOTDATA("Total Amount",$A$1)</f>
        <v>1.921737392431723E-2</v>
      </c>
      <c r="G9" s="69"/>
    </row>
    <row r="10" spans="1:7" x14ac:dyDescent="0.35">
      <c r="A10" s="4"/>
      <c r="B10" s="4"/>
      <c r="C10" s="4" t="s">
        <v>968</v>
      </c>
      <c r="D10" s="67">
        <v>37750</v>
      </c>
      <c r="E10" s="68">
        <f>GETPIVOTDATA("Total Amount",$A$1,"Resource Category","Material","Resource Type","ID","Resource Sub-type","Door Core")/GETPIVOTDATA("Total Amount",$A$1)</f>
        <v>5.1157354061204046E-4</v>
      </c>
      <c r="F10" s="69"/>
      <c r="G10" s="69"/>
    </row>
    <row r="11" spans="1:7" x14ac:dyDescent="0.35">
      <c r="A11" s="4"/>
      <c r="B11" s="4"/>
      <c r="C11" s="4" t="s">
        <v>934</v>
      </c>
      <c r="D11" s="67">
        <v>997930</v>
      </c>
      <c r="E11" s="68">
        <f>GETPIVOTDATA("Total Amount",$A$1,"Resource Category","Material","Resource Type","ID","Resource Sub-type","Veneer")/GETPIVOTDATA("Total Amount",$A$1)</f>
        <v>1.3523565122727775E-2</v>
      </c>
      <c r="F11" s="69"/>
      <c r="G11" s="69"/>
    </row>
    <row r="12" spans="1:7" x14ac:dyDescent="0.35">
      <c r="A12" s="4"/>
      <c r="B12" s="4"/>
      <c r="C12" s="4" t="s">
        <v>851</v>
      </c>
      <c r="D12" s="67">
        <v>267424.51388888888</v>
      </c>
      <c r="E12" s="68">
        <f>GETPIVOTDATA("Total Amount",$A$1,"Resource Category","Material","Resource Type","ID","Resource Sub-type","Wood")/GETPIVOTDATA("Total Amount",$A$1)</f>
        <v>3.624034580571991E-3</v>
      </c>
      <c r="F12" s="69"/>
      <c r="G12" s="69"/>
    </row>
    <row r="13" spans="1:7" x14ac:dyDescent="0.35">
      <c r="A13" s="4" t="s">
        <v>123</v>
      </c>
      <c r="B13" s="4" t="s">
        <v>1508</v>
      </c>
      <c r="C13" s="4" t="s">
        <v>1577</v>
      </c>
      <c r="D13" s="67">
        <v>900000</v>
      </c>
      <c r="E13" s="68">
        <f>GETPIVOTDATA("Total Amount",$A$1,"Resource Category","Miscellaneous","Resource Type","Prelims","Resource Sub-type",)/GETPIVOTDATA("Total Amount",$A$1)</f>
        <v>1.2196455272869838E-2</v>
      </c>
      <c r="F13" s="68">
        <f>GETPIVOTDATA("Total Amount",$A$1,"Resource Category","Miscellaneous","Resource Type","Prelims","Resource Sub-type",)/GETPIVOTDATA("Total Amount",$A$1)</f>
        <v>1.2196455272869838E-2</v>
      </c>
      <c r="G13" s="69">
        <f>SUM(D13:D14)/GETPIVOTDATA("Total Amount",$A$1)</f>
        <v>2.1682587151768601E-2</v>
      </c>
    </row>
    <row r="14" spans="1:7" x14ac:dyDescent="0.35">
      <c r="A14" s="4"/>
      <c r="B14" s="4" t="s">
        <v>71</v>
      </c>
      <c r="C14" s="4" t="s">
        <v>1577</v>
      </c>
      <c r="D14" s="67">
        <v>700000</v>
      </c>
      <c r="E14" s="68">
        <f>GETPIVOTDATA("Total Amount",$A$1,"Resource Category","Miscellaneous","Resource Type","Provisional Sum","Resource Sub-type",)/GETPIVOTDATA("Total Amount",$A$1)</f>
        <v>9.4861318788987629E-3</v>
      </c>
      <c r="F14" s="68">
        <f>GETPIVOTDATA("Total Amount",$A$1,"Resource Category","Miscellaneous","Resource Type","Provisional Sum","Resource Sub-type",)/GETPIVOTDATA("Total Amount",$A$1)</f>
        <v>9.4861318788987629E-3</v>
      </c>
      <c r="G14" s="69"/>
    </row>
    <row r="15" spans="1:7" x14ac:dyDescent="0.35">
      <c r="A15" s="4" t="s">
        <v>1558</v>
      </c>
      <c r="B15" s="4" t="s">
        <v>1310</v>
      </c>
      <c r="C15" s="4" t="s">
        <v>1577</v>
      </c>
      <c r="D15" s="67">
        <v>187500</v>
      </c>
      <c r="E15" s="68">
        <f>GETPIVOTDATA("Total Amount",$A$1,"Resource Category","Subcontract","Resource Type","Flooring","Resource Sub-type",)/GETPIVOTDATA("Total Amount",$A$1)</f>
        <v>2.5409281818478827E-3</v>
      </c>
      <c r="F15" s="68">
        <f>GETPIVOTDATA("Total Amount",$A$1,"Resource Category","Subcontract","Resource Type","Flooring","Resource Sub-type",)/GETPIVOTDATA("Total Amount",$A$1)</f>
        <v>2.5409281818478827E-3</v>
      </c>
      <c r="G15" s="69">
        <f>SUM(D15:D20)/GETPIVOTDATA("Total Amount",$A$1)</f>
        <v>4.3813732825239413E-2</v>
      </c>
    </row>
    <row r="16" spans="1:7" x14ac:dyDescent="0.35">
      <c r="A16" s="4"/>
      <c r="B16" s="4" t="s">
        <v>1431</v>
      </c>
      <c r="C16" s="4" t="s">
        <v>1577</v>
      </c>
      <c r="D16" s="67">
        <v>224500</v>
      </c>
      <c r="E16" s="68">
        <f>GETPIVOTDATA("Total Amount",$A$1,"Resource Category","Subcontract","Resource Type","Gypsum","Resource Sub-type",)/GETPIVOTDATA("Total Amount",$A$1)</f>
        <v>3.0423380097325315E-3</v>
      </c>
      <c r="F16" s="68">
        <f>GETPIVOTDATA("Total Amount",$A$1,"Resource Category","Subcontract","Resource Type","Gypsum","Resource Sub-type",)/GETPIVOTDATA("Total Amount",$A$1)</f>
        <v>3.0423380097325315E-3</v>
      </c>
      <c r="G16" s="69"/>
    </row>
    <row r="17" spans="1:7" x14ac:dyDescent="0.35">
      <c r="A17" s="4"/>
      <c r="B17" s="4" t="s">
        <v>1338</v>
      </c>
      <c r="C17" s="4" t="s">
        <v>1577</v>
      </c>
      <c r="D17" s="67">
        <v>260100</v>
      </c>
      <c r="E17" s="68">
        <f>GETPIVOTDATA("Total Amount",$A$1,"Resource Category","Subcontract","Resource Type","Painting","Resource Sub-type",)/GETPIVOTDATA("Total Amount",$A$1)</f>
        <v>3.5247755738593831E-3</v>
      </c>
      <c r="F17" s="68">
        <f>GETPIVOTDATA("Total Amount",$A$1,"Resource Category","Subcontract","Resource Type","Painting","Resource Sub-type",)/GETPIVOTDATA("Total Amount",$A$1)</f>
        <v>3.5247755738593831E-3</v>
      </c>
      <c r="G17" s="69"/>
    </row>
    <row r="18" spans="1:7" x14ac:dyDescent="0.35">
      <c r="A18" s="4"/>
      <c r="B18" s="4" t="s">
        <v>1433</v>
      </c>
      <c r="C18" s="4" t="s">
        <v>1577</v>
      </c>
      <c r="D18" s="67">
        <v>778000</v>
      </c>
      <c r="E18" s="68">
        <f>GETPIVOTDATA("Total Amount",$A$1,"Resource Category","Subcontract","Resource Type","Scaffolding","Resource Sub-type",)/GETPIVOTDATA("Total Amount",$A$1)</f>
        <v>1.0543158002547482E-2</v>
      </c>
      <c r="F18" s="68">
        <f>GETPIVOTDATA("Total Amount",$A$1,"Resource Category","Subcontract","Resource Type","Scaffolding","Resource Sub-type",)/GETPIVOTDATA("Total Amount",$A$1)</f>
        <v>1.0543158002547482E-2</v>
      </c>
      <c r="G18" s="69"/>
    </row>
    <row r="19" spans="1:7" x14ac:dyDescent="0.35">
      <c r="A19" s="4"/>
      <c r="B19" s="4" t="s">
        <v>1432</v>
      </c>
      <c r="C19" s="4" t="s">
        <v>1577</v>
      </c>
      <c r="D19" s="67">
        <v>1659500</v>
      </c>
      <c r="E19" s="68">
        <f>GETPIVOTDATA("Total Amount",$A$1,"Resource Category","Subcontract","Resource Type","Shuttering","Resource Sub-type",)/GETPIVOTDATA("Total Amount",$A$1)</f>
        <v>2.2488908361474994E-2</v>
      </c>
      <c r="F19" s="68">
        <f>GETPIVOTDATA("Total Amount",$A$1,"Resource Category","Subcontract","Resource Type","Shuttering","Resource Sub-type",)/GETPIVOTDATA("Total Amount",$A$1)</f>
        <v>2.2488908361474994E-2</v>
      </c>
      <c r="G19" s="69"/>
    </row>
    <row r="20" spans="1:7" x14ac:dyDescent="0.35">
      <c r="A20" s="4"/>
      <c r="B20" s="4" t="s">
        <v>211</v>
      </c>
      <c r="C20" s="4" t="s">
        <v>1577</v>
      </c>
      <c r="D20" s="67">
        <v>123500</v>
      </c>
      <c r="E20" s="68">
        <f>GETPIVOTDATA("Total Amount",$A$1,"Resource Category","Subcontract","Resource Type","Steel","Resource Sub-type",)/GETPIVOTDATA("Total Amount",$A$1)</f>
        <v>1.6736246957771389E-3</v>
      </c>
      <c r="F20" s="68">
        <f>GETPIVOTDATA("Total Amount",$A$1,"Resource Category","Subcontract","Resource Type","Steel","Resource Sub-type",)/GETPIVOTDATA("Total Amount",$A$1)</f>
        <v>1.6736246957771389E-3</v>
      </c>
      <c r="G20" s="69"/>
    </row>
    <row r="21" spans="1:7" x14ac:dyDescent="0.35">
      <c r="A21" s="4" t="s">
        <v>1251</v>
      </c>
      <c r="B21" s="4"/>
      <c r="C21" s="4"/>
      <c r="D21" s="67">
        <v>73791932.152777791</v>
      </c>
      <c r="E21" s="70">
        <f>SUM(E2:E20)</f>
        <v>0.99999999999999978</v>
      </c>
      <c r="F21" s="70">
        <f>SUM(F2:F20)</f>
        <v>0.99999999999999967</v>
      </c>
      <c r="G21" s="70">
        <f>SUM(G2:G20)</f>
        <v>0.99999999999999978</v>
      </c>
    </row>
  </sheetData>
  <mergeCells count="6">
    <mergeCell ref="G2:G4"/>
    <mergeCell ref="F5:F8"/>
    <mergeCell ref="F9:F12"/>
    <mergeCell ref="G5:G12"/>
    <mergeCell ref="G13:G14"/>
    <mergeCell ref="G15:G20"/>
  </mergeCells>
  <pageMargins left="0.7" right="0.7" top="0.75" bottom="0.75" header="0.3" footer="0.3"/>
  <pageSetup scale="8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3B17-BB6C-4C65-B71D-E355D69CFD45}">
  <dimension ref="A1:R894"/>
  <sheetViews>
    <sheetView view="pageBreakPreview" topLeftCell="A850" zoomScaleNormal="70" zoomScaleSheetLayoutView="100" workbookViewId="0">
      <selection activeCell="A856" sqref="A1:XFD1048576"/>
    </sheetView>
  </sheetViews>
  <sheetFormatPr defaultRowHeight="14.5" x14ac:dyDescent="0.35"/>
  <cols>
    <col min="1" max="1" width="11.81640625" style="20" bestFit="1" customWidth="1"/>
    <col min="2" max="2" width="31.453125" style="1" bestFit="1" customWidth="1"/>
    <col min="3" max="3" width="33.6328125" style="1" bestFit="1" customWidth="1"/>
    <col min="4" max="4" width="7.6328125" style="52" bestFit="1" customWidth="1"/>
    <col min="5" max="5" width="5.7265625" style="52" bestFit="1" customWidth="1"/>
    <col min="6" max="9" width="6.6328125" style="52" bestFit="1" customWidth="1"/>
    <col min="10" max="10" width="9.6328125" style="52" bestFit="1" customWidth="1"/>
    <col min="11" max="11" width="5.81640625" style="1" bestFit="1" customWidth="1"/>
    <col min="12" max="12" width="11.54296875" style="52" bestFit="1" customWidth="1"/>
    <col min="13" max="13" width="13.1796875" style="52" bestFit="1" customWidth="1"/>
    <col min="14" max="14" width="9.6328125" style="52" bestFit="1" customWidth="1"/>
    <col min="15" max="15" width="14.453125" style="52" bestFit="1" customWidth="1"/>
    <col min="16" max="16" width="11.1796875" style="52" bestFit="1" customWidth="1"/>
    <col min="17" max="17" width="11.08984375" style="52" bestFit="1" customWidth="1"/>
    <col min="18" max="18" width="13.90625" style="52" bestFit="1" customWidth="1"/>
    <col min="19" max="16384" width="8.7265625" style="1"/>
  </cols>
  <sheetData>
    <row r="1" spans="1:18" x14ac:dyDescent="0.35">
      <c r="A1" s="29" t="s">
        <v>1348</v>
      </c>
      <c r="B1" s="49" t="s">
        <v>1349</v>
      </c>
      <c r="C1" s="41" t="s">
        <v>1437</v>
      </c>
      <c r="D1" s="50" t="s">
        <v>1138</v>
      </c>
      <c r="E1" s="50" t="s">
        <v>1465</v>
      </c>
      <c r="F1" s="50" t="s">
        <v>1466</v>
      </c>
      <c r="G1" s="50" t="s">
        <v>1467</v>
      </c>
      <c r="H1" s="50" t="s">
        <v>1468</v>
      </c>
      <c r="I1" s="50" t="s">
        <v>1469</v>
      </c>
      <c r="J1" s="50" t="s">
        <v>1262</v>
      </c>
      <c r="K1" s="41" t="s">
        <v>1470</v>
      </c>
      <c r="L1" s="50" t="s">
        <v>1471</v>
      </c>
      <c r="M1" s="50" t="s">
        <v>1472</v>
      </c>
      <c r="N1" s="50" t="s">
        <v>1261</v>
      </c>
      <c r="O1" s="50" t="s">
        <v>1473</v>
      </c>
      <c r="P1" s="50" t="s">
        <v>1474</v>
      </c>
      <c r="Q1" s="50" t="s">
        <v>1499</v>
      </c>
      <c r="R1" s="50" t="s">
        <v>1500</v>
      </c>
    </row>
    <row r="2" spans="1:18" ht="29" x14ac:dyDescent="0.35">
      <c r="A2" s="29" t="s">
        <v>1450</v>
      </c>
      <c r="B2" s="49" t="str">
        <f>VLOOKUP(B1,'Working BOQ'!A:K,9,0)</f>
        <v>Site Co-ordination</v>
      </c>
      <c r="C2" s="41"/>
      <c r="D2" s="50"/>
      <c r="E2" s="50"/>
      <c r="F2" s="50"/>
      <c r="G2" s="50"/>
      <c r="H2" s="50"/>
      <c r="I2" s="50"/>
      <c r="J2" s="50"/>
      <c r="K2" s="41"/>
      <c r="L2" s="50"/>
      <c r="M2" s="50"/>
      <c r="N2" s="50"/>
      <c r="O2" s="50"/>
      <c r="P2" s="50"/>
      <c r="Q2" s="50"/>
      <c r="R2" s="50"/>
    </row>
    <row r="3" spans="1:18" x14ac:dyDescent="0.35">
      <c r="A3" s="29" t="s">
        <v>1451</v>
      </c>
      <c r="B3" s="49">
        <f>VLOOKUP(B1,'Working BOQ'!A:N,14,0)</f>
        <v>1</v>
      </c>
      <c r="C3" s="41"/>
      <c r="D3" s="50"/>
      <c r="E3" s="50"/>
      <c r="F3" s="50"/>
      <c r="G3" s="50"/>
      <c r="H3" s="50"/>
      <c r="I3" s="50"/>
      <c r="J3" s="50"/>
      <c r="K3" s="41"/>
      <c r="L3" s="50"/>
      <c r="M3" s="50"/>
      <c r="N3" s="50"/>
      <c r="O3" s="50"/>
      <c r="P3" s="50"/>
      <c r="Q3" s="50"/>
      <c r="R3" s="50"/>
    </row>
    <row r="4" spans="1:18" x14ac:dyDescent="0.35">
      <c r="A4" s="29" t="s">
        <v>1</v>
      </c>
      <c r="B4" s="49" t="str">
        <f>VLOOKUP(B1,'Working BOQ'!A:K,11,0)</f>
        <v>L/s</v>
      </c>
      <c r="C4" s="41"/>
      <c r="D4" s="50"/>
      <c r="E4" s="50"/>
      <c r="F4" s="50"/>
      <c r="G4" s="50"/>
      <c r="H4" s="50"/>
      <c r="I4" s="50"/>
      <c r="J4" s="50"/>
      <c r="K4" s="41"/>
      <c r="L4" s="50"/>
      <c r="M4" s="50"/>
      <c r="N4" s="50"/>
      <c r="O4" s="50"/>
      <c r="P4" s="50"/>
      <c r="Q4" s="50"/>
      <c r="R4" s="50"/>
    </row>
    <row r="5" spans="1:18" s="6" customFormat="1" x14ac:dyDescent="0.35">
      <c r="A5" s="24" t="s">
        <v>110</v>
      </c>
      <c r="B5" s="5" t="s">
        <v>112</v>
      </c>
      <c r="C5" s="5" t="s">
        <v>111</v>
      </c>
      <c r="D5" s="16" t="s">
        <v>1200</v>
      </c>
      <c r="E5" s="16" t="s">
        <v>1200</v>
      </c>
      <c r="F5" s="16" t="s">
        <v>1452</v>
      </c>
      <c r="G5" s="16" t="s">
        <v>1453</v>
      </c>
      <c r="H5" s="16" t="s">
        <v>1454</v>
      </c>
      <c r="I5" s="16" t="s">
        <v>1455</v>
      </c>
      <c r="J5" s="16" t="s">
        <v>3</v>
      </c>
      <c r="K5" s="5" t="s">
        <v>1</v>
      </c>
      <c r="L5" s="16" t="s">
        <v>1456</v>
      </c>
      <c r="M5" s="16" t="s">
        <v>1457</v>
      </c>
      <c r="N5" s="16" t="s">
        <v>1458</v>
      </c>
      <c r="O5" s="16" t="s">
        <v>1459</v>
      </c>
      <c r="P5" s="16" t="s">
        <v>1122</v>
      </c>
      <c r="Q5" s="16" t="s">
        <v>1486</v>
      </c>
      <c r="R5" s="16" t="s">
        <v>1498</v>
      </c>
    </row>
    <row r="6" spans="1:18" x14ac:dyDescent="0.35">
      <c r="A6" s="27"/>
      <c r="B6" s="41"/>
      <c r="C6" s="41"/>
      <c r="D6" s="50"/>
      <c r="E6" s="50"/>
      <c r="F6" s="50"/>
      <c r="G6" s="50"/>
      <c r="H6" s="50"/>
      <c r="I6" s="50"/>
      <c r="J6" s="50"/>
      <c r="K6" s="41"/>
      <c r="L6" s="50"/>
      <c r="M6" s="50"/>
      <c r="N6" s="50"/>
      <c r="O6" s="50"/>
      <c r="P6" s="50"/>
      <c r="Q6" s="50"/>
      <c r="R6" s="50"/>
    </row>
    <row r="7" spans="1:18" x14ac:dyDescent="0.35">
      <c r="A7" s="26">
        <v>1</v>
      </c>
      <c r="B7" s="8" t="s">
        <v>1509</v>
      </c>
      <c r="C7" s="41" t="str">
        <f>VLOOKUP(B7,'Project Resource Master'!C:N,5,0)</f>
        <v>Site Co-ordination</v>
      </c>
      <c r="D7" s="50">
        <v>1</v>
      </c>
      <c r="E7" s="50">
        <v>1</v>
      </c>
      <c r="F7" s="50">
        <v>1</v>
      </c>
      <c r="G7" s="50">
        <v>1</v>
      </c>
      <c r="H7" s="50">
        <v>1</v>
      </c>
      <c r="I7" s="50">
        <v>1</v>
      </c>
      <c r="J7" s="50">
        <f>PRODUCT(D7:I7)</f>
        <v>1</v>
      </c>
      <c r="K7" s="41" t="str">
        <f>VLOOKUP(B7,'Project Resource Master'!C:N,6,0)</f>
        <v>L/s</v>
      </c>
      <c r="L7" s="50">
        <f>VLOOKUP(B7,'Project Resource Master'!C:N,11,0)</f>
        <v>0</v>
      </c>
      <c r="M7" s="50">
        <f>J7*L7</f>
        <v>0</v>
      </c>
      <c r="N7" s="50">
        <f>+J7+M7</f>
        <v>1</v>
      </c>
      <c r="O7" s="50">
        <f>VLOOKUP(B7,'Project Resource Master'!C:N,12,0)</f>
        <v>100000</v>
      </c>
      <c r="P7" s="50">
        <f>+O7*N7</f>
        <v>100000</v>
      </c>
      <c r="Q7" s="50">
        <f>+N7*B3</f>
        <v>1</v>
      </c>
      <c r="R7" s="50">
        <f>Q7*O7</f>
        <v>100000</v>
      </c>
    </row>
    <row r="8" spans="1:18" x14ac:dyDescent="0.35">
      <c r="A8" s="27"/>
      <c r="B8" s="41"/>
      <c r="C8" s="41"/>
      <c r="D8" s="50"/>
      <c r="E8" s="50"/>
      <c r="F8" s="50"/>
      <c r="G8" s="50"/>
      <c r="H8" s="50"/>
      <c r="I8" s="50"/>
      <c r="J8" s="50"/>
      <c r="K8" s="41"/>
      <c r="L8" s="50"/>
      <c r="M8" s="50"/>
      <c r="N8" s="50"/>
      <c r="O8" s="50"/>
      <c r="P8" s="50"/>
      <c r="Q8" s="50"/>
      <c r="R8" s="50"/>
    </row>
    <row r="9" spans="1:18" s="14" customFormat="1" x14ac:dyDescent="0.35">
      <c r="A9" s="29" t="str">
        <f>B1</f>
        <v>1a</v>
      </c>
      <c r="B9" s="7"/>
      <c r="C9" s="7" t="s">
        <v>1485</v>
      </c>
      <c r="D9" s="51"/>
      <c r="E9" s="51"/>
      <c r="F9" s="51"/>
      <c r="G9" s="51"/>
      <c r="H9" s="51"/>
      <c r="I9" s="51"/>
      <c r="J9" s="51"/>
      <c r="K9" s="7"/>
      <c r="L9" s="51"/>
      <c r="M9" s="51"/>
      <c r="N9" s="51"/>
      <c r="O9" s="51"/>
      <c r="P9" s="51">
        <f>SUM(P6:P8)</f>
        <v>100000</v>
      </c>
      <c r="Q9" s="51"/>
      <c r="R9" s="51">
        <f>SUM(R6:R8)</f>
        <v>100000</v>
      </c>
    </row>
    <row r="12" spans="1:18" x14ac:dyDescent="0.35">
      <c r="A12" s="29" t="s">
        <v>1348</v>
      </c>
      <c r="B12" s="49" t="s">
        <v>1350</v>
      </c>
      <c r="C12" s="41"/>
      <c r="D12" s="50"/>
      <c r="E12" s="50"/>
      <c r="F12" s="50"/>
      <c r="G12" s="50"/>
      <c r="H12" s="50"/>
      <c r="I12" s="50"/>
      <c r="J12" s="50"/>
      <c r="K12" s="41"/>
      <c r="L12" s="50"/>
      <c r="M12" s="50"/>
      <c r="N12" s="50"/>
      <c r="O12" s="50"/>
      <c r="P12" s="50"/>
      <c r="Q12" s="50"/>
      <c r="R12" s="50"/>
    </row>
    <row r="13" spans="1:18" ht="29" x14ac:dyDescent="0.35">
      <c r="A13" s="29" t="s">
        <v>1450</v>
      </c>
      <c r="B13" s="49" t="str">
        <f>VLOOKUP(B12,'Working BOQ'!A:K,9,0)</f>
        <v>Shop Drawings</v>
      </c>
      <c r="C13" s="41"/>
      <c r="D13" s="50"/>
      <c r="E13" s="50"/>
      <c r="F13" s="50"/>
      <c r="G13" s="50"/>
      <c r="H13" s="50"/>
      <c r="I13" s="50"/>
      <c r="J13" s="50"/>
      <c r="K13" s="41"/>
      <c r="L13" s="50"/>
      <c r="M13" s="50"/>
      <c r="N13" s="50"/>
      <c r="O13" s="50"/>
      <c r="P13" s="50"/>
      <c r="Q13" s="50"/>
      <c r="R13" s="50"/>
    </row>
    <row r="14" spans="1:18" x14ac:dyDescent="0.35">
      <c r="A14" s="29" t="s">
        <v>1451</v>
      </c>
      <c r="B14" s="49">
        <f>VLOOKUP(B12,'Working BOQ'!A:N,14,0)</f>
        <v>1</v>
      </c>
      <c r="C14" s="41"/>
      <c r="D14" s="50"/>
      <c r="E14" s="50"/>
      <c r="F14" s="50"/>
      <c r="G14" s="50"/>
      <c r="H14" s="50"/>
      <c r="I14" s="50"/>
      <c r="J14" s="50"/>
      <c r="K14" s="41"/>
      <c r="L14" s="50"/>
      <c r="M14" s="50"/>
      <c r="N14" s="50"/>
      <c r="O14" s="50"/>
      <c r="P14" s="50"/>
      <c r="Q14" s="50"/>
      <c r="R14" s="50"/>
    </row>
    <row r="15" spans="1:18" x14ac:dyDescent="0.35">
      <c r="A15" s="29" t="s">
        <v>1</v>
      </c>
      <c r="B15" s="49" t="str">
        <f>VLOOKUP(B12,'Working BOQ'!A:K,11,0)</f>
        <v>L/s</v>
      </c>
      <c r="C15" s="41"/>
      <c r="D15" s="50"/>
      <c r="E15" s="50"/>
      <c r="F15" s="50"/>
      <c r="G15" s="50"/>
      <c r="H15" s="50"/>
      <c r="I15" s="50"/>
      <c r="J15" s="50"/>
      <c r="K15" s="41"/>
      <c r="L15" s="50"/>
      <c r="M15" s="50"/>
      <c r="N15" s="50"/>
      <c r="O15" s="50"/>
      <c r="P15" s="50"/>
      <c r="Q15" s="50"/>
      <c r="R15" s="50"/>
    </row>
    <row r="16" spans="1:18" s="6" customFormat="1" x14ac:dyDescent="0.35">
      <c r="A16" s="24" t="s">
        <v>110</v>
      </c>
      <c r="B16" s="5" t="s">
        <v>112</v>
      </c>
      <c r="C16" s="5" t="s">
        <v>111</v>
      </c>
      <c r="D16" s="16" t="s">
        <v>1200</v>
      </c>
      <c r="E16" s="16" t="s">
        <v>1200</v>
      </c>
      <c r="F16" s="16" t="s">
        <v>1452</v>
      </c>
      <c r="G16" s="16" t="s">
        <v>1453</v>
      </c>
      <c r="H16" s="16" t="s">
        <v>1454</v>
      </c>
      <c r="I16" s="16" t="s">
        <v>1455</v>
      </c>
      <c r="J16" s="16" t="s">
        <v>3</v>
      </c>
      <c r="K16" s="5" t="s">
        <v>1</v>
      </c>
      <c r="L16" s="16" t="s">
        <v>1456</v>
      </c>
      <c r="M16" s="16" t="s">
        <v>1457</v>
      </c>
      <c r="N16" s="16" t="s">
        <v>1458</v>
      </c>
      <c r="O16" s="16" t="s">
        <v>1459</v>
      </c>
      <c r="P16" s="16" t="s">
        <v>1122</v>
      </c>
      <c r="Q16" s="16" t="s">
        <v>1486</v>
      </c>
      <c r="R16" s="16" t="s">
        <v>1498</v>
      </c>
    </row>
    <row r="17" spans="1:18" x14ac:dyDescent="0.35">
      <c r="A17" s="27"/>
      <c r="B17" s="41"/>
      <c r="C17" s="41"/>
      <c r="D17" s="50"/>
      <c r="E17" s="50"/>
      <c r="F17" s="50"/>
      <c r="G17" s="50"/>
      <c r="H17" s="50"/>
      <c r="I17" s="50"/>
      <c r="J17" s="50"/>
      <c r="K17" s="41"/>
      <c r="L17" s="50"/>
      <c r="M17" s="50"/>
      <c r="N17" s="50"/>
      <c r="O17" s="50"/>
      <c r="P17" s="50"/>
      <c r="Q17" s="50"/>
      <c r="R17" s="50"/>
    </row>
    <row r="18" spans="1:18" x14ac:dyDescent="0.35">
      <c r="A18" s="26">
        <v>1</v>
      </c>
      <c r="B18" s="8" t="s">
        <v>1510</v>
      </c>
      <c r="C18" s="41" t="str">
        <f>VLOOKUP(B18,'Project Resource Master'!C:N,5,0)</f>
        <v>Shop Drawings</v>
      </c>
      <c r="D18" s="50">
        <v>1</v>
      </c>
      <c r="E18" s="50">
        <v>1</v>
      </c>
      <c r="F18" s="50">
        <v>1</v>
      </c>
      <c r="G18" s="50">
        <v>1</v>
      </c>
      <c r="H18" s="50">
        <v>1</v>
      </c>
      <c r="I18" s="50">
        <v>1</v>
      </c>
      <c r="J18" s="50">
        <f>PRODUCT(D18:I18)</f>
        <v>1</v>
      </c>
      <c r="K18" s="41" t="str">
        <f>VLOOKUP(B18,'Project Resource Master'!C:N,6,0)</f>
        <v>L/s</v>
      </c>
      <c r="L18" s="50">
        <f>VLOOKUP(B18,'Project Resource Master'!C:N,11,0)</f>
        <v>0</v>
      </c>
      <c r="M18" s="50">
        <f>J18*L18</f>
        <v>0</v>
      </c>
      <c r="N18" s="50">
        <f>+J18+M18</f>
        <v>1</v>
      </c>
      <c r="O18" s="50">
        <f>VLOOKUP(B18,'Project Resource Master'!C:N,12,0)</f>
        <v>100000</v>
      </c>
      <c r="P18" s="50">
        <f>+O18*N18</f>
        <v>100000</v>
      </c>
      <c r="Q18" s="50">
        <f>+N18*B14</f>
        <v>1</v>
      </c>
      <c r="R18" s="50">
        <f>Q18*O18</f>
        <v>100000</v>
      </c>
    </row>
    <row r="19" spans="1:18" x14ac:dyDescent="0.35">
      <c r="A19" s="27"/>
      <c r="B19" s="41"/>
      <c r="C19" s="41"/>
      <c r="D19" s="50"/>
      <c r="E19" s="50"/>
      <c r="F19" s="50"/>
      <c r="G19" s="50"/>
      <c r="H19" s="50"/>
      <c r="I19" s="50"/>
      <c r="J19" s="50"/>
      <c r="K19" s="41"/>
      <c r="L19" s="50"/>
      <c r="M19" s="50"/>
      <c r="N19" s="50"/>
      <c r="O19" s="50"/>
      <c r="P19" s="50"/>
      <c r="Q19" s="50"/>
      <c r="R19" s="50"/>
    </row>
    <row r="20" spans="1:18" s="14" customFormat="1" x14ac:dyDescent="0.35">
      <c r="A20" s="29" t="str">
        <f>B12</f>
        <v>1b</v>
      </c>
      <c r="B20" s="7"/>
      <c r="C20" s="7" t="s">
        <v>1485</v>
      </c>
      <c r="D20" s="51"/>
      <c r="E20" s="51"/>
      <c r="F20" s="51"/>
      <c r="G20" s="51"/>
      <c r="H20" s="51"/>
      <c r="I20" s="51"/>
      <c r="J20" s="51"/>
      <c r="K20" s="7"/>
      <c r="L20" s="51"/>
      <c r="M20" s="51"/>
      <c r="N20" s="51"/>
      <c r="O20" s="51"/>
      <c r="P20" s="51">
        <f>SUM(P17:P19)</f>
        <v>100000</v>
      </c>
      <c r="Q20" s="51"/>
      <c r="R20" s="51">
        <f>SUM(R17:R19)</f>
        <v>100000</v>
      </c>
    </row>
    <row r="23" spans="1:18" x14ac:dyDescent="0.35">
      <c r="A23" s="29" t="s">
        <v>1348</v>
      </c>
      <c r="B23" s="49" t="s">
        <v>1351</v>
      </c>
      <c r="C23" s="41"/>
      <c r="D23" s="50"/>
      <c r="E23" s="50"/>
      <c r="F23" s="50"/>
      <c r="G23" s="50"/>
      <c r="H23" s="50"/>
      <c r="I23" s="50"/>
      <c r="J23" s="50"/>
      <c r="K23" s="41"/>
      <c r="L23" s="50"/>
      <c r="M23" s="50"/>
      <c r="N23" s="50"/>
      <c r="O23" s="50"/>
      <c r="P23" s="50"/>
      <c r="Q23" s="50"/>
      <c r="R23" s="50"/>
    </row>
    <row r="24" spans="1:18" ht="29" x14ac:dyDescent="0.35">
      <c r="A24" s="29" t="s">
        <v>1450</v>
      </c>
      <c r="B24" s="49" t="str">
        <f>VLOOKUP(B23,'Working BOQ'!A:K,9,0)</f>
        <v>As-Built Drawings</v>
      </c>
      <c r="C24" s="41"/>
      <c r="D24" s="50"/>
      <c r="E24" s="50"/>
      <c r="F24" s="50"/>
      <c r="G24" s="50"/>
      <c r="H24" s="50"/>
      <c r="I24" s="50"/>
      <c r="J24" s="50"/>
      <c r="K24" s="41"/>
      <c r="L24" s="50"/>
      <c r="M24" s="50"/>
      <c r="N24" s="50"/>
      <c r="O24" s="50"/>
      <c r="P24" s="50"/>
      <c r="Q24" s="50"/>
      <c r="R24" s="50"/>
    </row>
    <row r="25" spans="1:18" x14ac:dyDescent="0.35">
      <c r="A25" s="29" t="s">
        <v>1451</v>
      </c>
      <c r="B25" s="49">
        <f>VLOOKUP(B23,'Working BOQ'!A:N,14,0)</f>
        <v>1</v>
      </c>
      <c r="C25" s="41"/>
      <c r="D25" s="50"/>
      <c r="E25" s="50"/>
      <c r="F25" s="50"/>
      <c r="G25" s="50"/>
      <c r="H25" s="50"/>
      <c r="I25" s="50"/>
      <c r="J25" s="50"/>
      <c r="K25" s="41"/>
      <c r="L25" s="50"/>
      <c r="M25" s="50"/>
      <c r="N25" s="50"/>
      <c r="O25" s="50"/>
      <c r="P25" s="50"/>
      <c r="Q25" s="50"/>
      <c r="R25" s="50"/>
    </row>
    <row r="26" spans="1:18" x14ac:dyDescent="0.35">
      <c r="A26" s="29" t="s">
        <v>1</v>
      </c>
      <c r="B26" s="49" t="str">
        <f>VLOOKUP(B23,'Working BOQ'!A:K,11,0)</f>
        <v>L/s</v>
      </c>
      <c r="C26" s="41"/>
      <c r="D26" s="50"/>
      <c r="E26" s="50"/>
      <c r="F26" s="50"/>
      <c r="G26" s="50"/>
      <c r="H26" s="50"/>
      <c r="I26" s="50"/>
      <c r="J26" s="50"/>
      <c r="K26" s="41"/>
      <c r="L26" s="50"/>
      <c r="M26" s="50"/>
      <c r="N26" s="50"/>
      <c r="O26" s="50"/>
      <c r="P26" s="50"/>
      <c r="Q26" s="50"/>
      <c r="R26" s="50"/>
    </row>
    <row r="27" spans="1:18" s="6" customFormat="1" x14ac:dyDescent="0.35">
      <c r="A27" s="24" t="s">
        <v>110</v>
      </c>
      <c r="B27" s="5" t="s">
        <v>112</v>
      </c>
      <c r="C27" s="5" t="s">
        <v>111</v>
      </c>
      <c r="D27" s="16" t="s">
        <v>1200</v>
      </c>
      <c r="E27" s="16" t="s">
        <v>1200</v>
      </c>
      <c r="F27" s="16" t="s">
        <v>1452</v>
      </c>
      <c r="G27" s="16" t="s">
        <v>1453</v>
      </c>
      <c r="H27" s="16" t="s">
        <v>1454</v>
      </c>
      <c r="I27" s="16" t="s">
        <v>1455</v>
      </c>
      <c r="J27" s="16" t="s">
        <v>3</v>
      </c>
      <c r="K27" s="5" t="s">
        <v>1</v>
      </c>
      <c r="L27" s="16" t="s">
        <v>1456</v>
      </c>
      <c r="M27" s="16" t="s">
        <v>1457</v>
      </c>
      <c r="N27" s="16" t="s">
        <v>1458</v>
      </c>
      <c r="O27" s="16" t="s">
        <v>1459</v>
      </c>
      <c r="P27" s="16" t="s">
        <v>1122</v>
      </c>
      <c r="Q27" s="16" t="s">
        <v>1486</v>
      </c>
      <c r="R27" s="16" t="s">
        <v>1498</v>
      </c>
    </row>
    <row r="28" spans="1:18" x14ac:dyDescent="0.35">
      <c r="A28" s="27"/>
      <c r="B28" s="41"/>
      <c r="C28" s="41"/>
      <c r="D28" s="50"/>
      <c r="E28" s="50"/>
      <c r="F28" s="50"/>
      <c r="G28" s="50"/>
      <c r="H28" s="50"/>
      <c r="I28" s="50"/>
      <c r="J28" s="50"/>
      <c r="K28" s="41"/>
      <c r="L28" s="50"/>
      <c r="M28" s="50"/>
      <c r="N28" s="50"/>
      <c r="O28" s="50"/>
      <c r="P28" s="50"/>
      <c r="Q28" s="50"/>
      <c r="R28" s="50"/>
    </row>
    <row r="29" spans="1:18" x14ac:dyDescent="0.35">
      <c r="A29" s="26">
        <v>1</v>
      </c>
      <c r="B29" s="8" t="s">
        <v>1511</v>
      </c>
      <c r="C29" s="41" t="str">
        <f>VLOOKUP(B29,'Project Resource Master'!C:N,5,0)</f>
        <v>As-Built Drawings</v>
      </c>
      <c r="D29" s="50">
        <v>1</v>
      </c>
      <c r="E29" s="50">
        <v>1</v>
      </c>
      <c r="F29" s="50">
        <v>1</v>
      </c>
      <c r="G29" s="50">
        <v>1</v>
      </c>
      <c r="H29" s="50">
        <v>1</v>
      </c>
      <c r="I29" s="50">
        <v>1</v>
      </c>
      <c r="J29" s="50">
        <f>PRODUCT(D29:I29)</f>
        <v>1</v>
      </c>
      <c r="K29" s="41" t="str">
        <f>VLOOKUP(B29,'Project Resource Master'!C:N,6,0)</f>
        <v>L/s</v>
      </c>
      <c r="L29" s="50">
        <f>VLOOKUP(B29,'Project Resource Master'!C:N,11,0)</f>
        <v>0</v>
      </c>
      <c r="M29" s="50">
        <f>J29*L29</f>
        <v>0</v>
      </c>
      <c r="N29" s="50">
        <f>+J29+M29</f>
        <v>1</v>
      </c>
      <c r="O29" s="50">
        <f>VLOOKUP(B29,'Project Resource Master'!C:N,12,0)</f>
        <v>100000</v>
      </c>
      <c r="P29" s="50">
        <f>+O29*N29</f>
        <v>100000</v>
      </c>
      <c r="Q29" s="50">
        <f>+N29*B25</f>
        <v>1</v>
      </c>
      <c r="R29" s="50">
        <f>Q29*O29</f>
        <v>100000</v>
      </c>
    </row>
    <row r="30" spans="1:18" x14ac:dyDescent="0.35">
      <c r="A30" s="27"/>
      <c r="B30" s="41"/>
      <c r="C30" s="41"/>
      <c r="D30" s="50"/>
      <c r="E30" s="50"/>
      <c r="F30" s="50"/>
      <c r="G30" s="50"/>
      <c r="H30" s="50"/>
      <c r="I30" s="50"/>
      <c r="J30" s="50"/>
      <c r="K30" s="41"/>
      <c r="L30" s="50"/>
      <c r="M30" s="50"/>
      <c r="N30" s="50"/>
      <c r="O30" s="50"/>
      <c r="P30" s="50"/>
      <c r="Q30" s="50"/>
      <c r="R30" s="50"/>
    </row>
    <row r="31" spans="1:18" s="14" customFormat="1" x14ac:dyDescent="0.35">
      <c r="A31" s="29" t="str">
        <f>B23</f>
        <v>1c</v>
      </c>
      <c r="B31" s="7"/>
      <c r="C31" s="7" t="s">
        <v>1485</v>
      </c>
      <c r="D31" s="51"/>
      <c r="E31" s="51"/>
      <c r="F31" s="51"/>
      <c r="G31" s="51"/>
      <c r="H31" s="51"/>
      <c r="I31" s="51"/>
      <c r="J31" s="51"/>
      <c r="K31" s="7"/>
      <c r="L31" s="51"/>
      <c r="M31" s="51"/>
      <c r="N31" s="51"/>
      <c r="O31" s="51"/>
      <c r="P31" s="51">
        <f>SUM(P28:P30)</f>
        <v>100000</v>
      </c>
      <c r="Q31" s="51"/>
      <c r="R31" s="51">
        <f>SUM(R28:R30)</f>
        <v>100000</v>
      </c>
    </row>
    <row r="34" spans="1:18" x14ac:dyDescent="0.35">
      <c r="A34" s="29" t="s">
        <v>1348</v>
      </c>
      <c r="B34" s="49" t="s">
        <v>1352</v>
      </c>
      <c r="C34" s="41"/>
      <c r="D34" s="50"/>
      <c r="E34" s="50"/>
      <c r="F34" s="50"/>
      <c r="G34" s="50"/>
      <c r="H34" s="50"/>
      <c r="I34" s="50"/>
      <c r="J34" s="50"/>
      <c r="K34" s="41"/>
      <c r="L34" s="50"/>
      <c r="M34" s="50"/>
      <c r="N34" s="50"/>
      <c r="O34" s="50"/>
      <c r="P34" s="50"/>
      <c r="Q34" s="50"/>
      <c r="R34" s="50"/>
    </row>
    <row r="35" spans="1:18" ht="29" x14ac:dyDescent="0.35">
      <c r="A35" s="29" t="s">
        <v>1450</v>
      </c>
      <c r="B35" s="49" t="str">
        <f>VLOOKUP(B34,'Working BOQ'!A:K,9,0)</f>
        <v>Material Submittals</v>
      </c>
      <c r="C35" s="41"/>
      <c r="D35" s="50"/>
      <c r="E35" s="50"/>
      <c r="F35" s="50"/>
      <c r="G35" s="50"/>
      <c r="H35" s="50"/>
      <c r="I35" s="50"/>
      <c r="J35" s="50"/>
      <c r="K35" s="41"/>
      <c r="L35" s="50"/>
      <c r="M35" s="50"/>
      <c r="N35" s="50"/>
      <c r="O35" s="50"/>
      <c r="P35" s="50"/>
      <c r="Q35" s="50"/>
      <c r="R35" s="50"/>
    </row>
    <row r="36" spans="1:18" x14ac:dyDescent="0.35">
      <c r="A36" s="29" t="s">
        <v>1451</v>
      </c>
      <c r="B36" s="49">
        <f>VLOOKUP(B34,'Working BOQ'!A:N,14,0)</f>
        <v>1</v>
      </c>
      <c r="C36" s="41"/>
      <c r="D36" s="50"/>
      <c r="E36" s="50"/>
      <c r="F36" s="50"/>
      <c r="G36" s="50"/>
      <c r="H36" s="50"/>
      <c r="I36" s="50"/>
      <c r="J36" s="50"/>
      <c r="K36" s="41"/>
      <c r="L36" s="50"/>
      <c r="M36" s="50"/>
      <c r="N36" s="50"/>
      <c r="O36" s="50"/>
      <c r="P36" s="50"/>
      <c r="Q36" s="50"/>
      <c r="R36" s="50"/>
    </row>
    <row r="37" spans="1:18" x14ac:dyDescent="0.35">
      <c r="A37" s="29" t="s">
        <v>1</v>
      </c>
      <c r="B37" s="49" t="str">
        <f>VLOOKUP(B34,'Working BOQ'!A:K,11,0)</f>
        <v>L/s</v>
      </c>
      <c r="C37" s="41"/>
      <c r="D37" s="50"/>
      <c r="E37" s="50"/>
      <c r="F37" s="50"/>
      <c r="G37" s="50"/>
      <c r="H37" s="50"/>
      <c r="I37" s="50"/>
      <c r="J37" s="50"/>
      <c r="K37" s="41"/>
      <c r="L37" s="50"/>
      <c r="M37" s="50"/>
      <c r="N37" s="50"/>
      <c r="O37" s="50"/>
      <c r="P37" s="50"/>
      <c r="Q37" s="50"/>
      <c r="R37" s="50"/>
    </row>
    <row r="38" spans="1:18" s="6" customFormat="1" x14ac:dyDescent="0.35">
      <c r="A38" s="24" t="s">
        <v>110</v>
      </c>
      <c r="B38" s="5" t="s">
        <v>112</v>
      </c>
      <c r="C38" s="5" t="s">
        <v>111</v>
      </c>
      <c r="D38" s="16" t="s">
        <v>1200</v>
      </c>
      <c r="E38" s="16" t="s">
        <v>1200</v>
      </c>
      <c r="F38" s="16" t="s">
        <v>1452</v>
      </c>
      <c r="G38" s="16" t="s">
        <v>1453</v>
      </c>
      <c r="H38" s="16" t="s">
        <v>1454</v>
      </c>
      <c r="I38" s="16" t="s">
        <v>1455</v>
      </c>
      <c r="J38" s="16" t="s">
        <v>3</v>
      </c>
      <c r="K38" s="5" t="s">
        <v>1</v>
      </c>
      <c r="L38" s="16" t="s">
        <v>1456</v>
      </c>
      <c r="M38" s="16" t="s">
        <v>1457</v>
      </c>
      <c r="N38" s="16" t="s">
        <v>1458</v>
      </c>
      <c r="O38" s="16" t="s">
        <v>1459</v>
      </c>
      <c r="P38" s="16" t="s">
        <v>1122</v>
      </c>
      <c r="Q38" s="16" t="s">
        <v>1486</v>
      </c>
      <c r="R38" s="16" t="s">
        <v>1498</v>
      </c>
    </row>
    <row r="39" spans="1:18" x14ac:dyDescent="0.35">
      <c r="A39" s="27"/>
      <c r="B39" s="41"/>
      <c r="C39" s="41"/>
      <c r="D39" s="50"/>
      <c r="E39" s="50"/>
      <c r="F39" s="50"/>
      <c r="G39" s="50"/>
      <c r="H39" s="50"/>
      <c r="I39" s="50"/>
      <c r="J39" s="50"/>
      <c r="K39" s="41"/>
      <c r="L39" s="50"/>
      <c r="M39" s="50"/>
      <c r="N39" s="50"/>
      <c r="O39" s="50"/>
      <c r="P39" s="50"/>
      <c r="Q39" s="50"/>
      <c r="R39" s="50"/>
    </row>
    <row r="40" spans="1:18" x14ac:dyDescent="0.35">
      <c r="A40" s="26">
        <v>1</v>
      </c>
      <c r="B40" s="8" t="s">
        <v>1512</v>
      </c>
      <c r="C40" s="41" t="str">
        <f>VLOOKUP(B40,'Project Resource Master'!C:N,5,0)</f>
        <v>Material Submittals</v>
      </c>
      <c r="D40" s="50">
        <v>1</v>
      </c>
      <c r="E40" s="50">
        <v>1</v>
      </c>
      <c r="F40" s="50">
        <v>1</v>
      </c>
      <c r="G40" s="50">
        <v>1</v>
      </c>
      <c r="H40" s="50">
        <v>1</v>
      </c>
      <c r="I40" s="50">
        <v>1</v>
      </c>
      <c r="J40" s="50">
        <f>PRODUCT(D40:I40)</f>
        <v>1</v>
      </c>
      <c r="K40" s="41" t="str">
        <f>VLOOKUP(B40,'Project Resource Master'!C:N,6,0)</f>
        <v>L/s</v>
      </c>
      <c r="L40" s="50">
        <f>VLOOKUP(B40,'Project Resource Master'!C:N,11,0)</f>
        <v>0</v>
      </c>
      <c r="M40" s="50">
        <f>J40*L40</f>
        <v>0</v>
      </c>
      <c r="N40" s="50">
        <f>+J40+M40</f>
        <v>1</v>
      </c>
      <c r="O40" s="50">
        <f>VLOOKUP(B40,'Project Resource Master'!C:N,12,0)</f>
        <v>100000</v>
      </c>
      <c r="P40" s="50">
        <f>+O40*N40</f>
        <v>100000</v>
      </c>
      <c r="Q40" s="50">
        <f>+N40*B36</f>
        <v>1</v>
      </c>
      <c r="R40" s="50">
        <f>Q40*O40</f>
        <v>100000</v>
      </c>
    </row>
    <row r="41" spans="1:18" x14ac:dyDescent="0.35">
      <c r="A41" s="27"/>
      <c r="B41" s="41"/>
      <c r="C41" s="41"/>
      <c r="D41" s="50"/>
      <c r="E41" s="50"/>
      <c r="F41" s="50"/>
      <c r="G41" s="50"/>
      <c r="H41" s="50"/>
      <c r="I41" s="50"/>
      <c r="J41" s="50"/>
      <c r="K41" s="41"/>
      <c r="L41" s="50"/>
      <c r="M41" s="50"/>
      <c r="N41" s="50"/>
      <c r="O41" s="50"/>
      <c r="P41" s="50"/>
      <c r="Q41" s="50"/>
      <c r="R41" s="50"/>
    </row>
    <row r="42" spans="1:18" s="14" customFormat="1" x14ac:dyDescent="0.35">
      <c r="A42" s="29" t="str">
        <f>B34</f>
        <v>1d</v>
      </c>
      <c r="B42" s="7"/>
      <c r="C42" s="7" t="s">
        <v>1485</v>
      </c>
      <c r="D42" s="51"/>
      <c r="E42" s="51"/>
      <c r="F42" s="51"/>
      <c r="G42" s="51"/>
      <c r="H42" s="51"/>
      <c r="I42" s="51"/>
      <c r="J42" s="51"/>
      <c r="K42" s="7"/>
      <c r="L42" s="51"/>
      <c r="M42" s="51"/>
      <c r="N42" s="51"/>
      <c r="O42" s="51"/>
      <c r="P42" s="51">
        <f>SUM(P39:P41)</f>
        <v>100000</v>
      </c>
      <c r="Q42" s="51"/>
      <c r="R42" s="51">
        <f>SUM(R39:R41)</f>
        <v>100000</v>
      </c>
    </row>
    <row r="45" spans="1:18" x14ac:dyDescent="0.35">
      <c r="A45" s="29" t="s">
        <v>1348</v>
      </c>
      <c r="B45" s="49" t="s">
        <v>1353</v>
      </c>
      <c r="C45" s="41"/>
      <c r="D45" s="50"/>
      <c r="E45" s="50"/>
      <c r="F45" s="50"/>
      <c r="G45" s="50"/>
      <c r="H45" s="50"/>
      <c r="I45" s="50"/>
      <c r="J45" s="50"/>
      <c r="K45" s="41"/>
      <c r="L45" s="50"/>
      <c r="M45" s="50"/>
      <c r="N45" s="50"/>
      <c r="O45" s="50"/>
      <c r="P45" s="50"/>
      <c r="Q45" s="50"/>
      <c r="R45" s="50"/>
    </row>
    <row r="46" spans="1:18" ht="29" x14ac:dyDescent="0.35">
      <c r="A46" s="29" t="s">
        <v>1450</v>
      </c>
      <c r="B46" s="49" t="str">
        <f>VLOOKUP(B45,'Working BOQ'!A:K,9,0)</f>
        <v>Sample Preparation</v>
      </c>
      <c r="C46" s="41"/>
      <c r="D46" s="50"/>
      <c r="E46" s="50"/>
      <c r="F46" s="50"/>
      <c r="G46" s="50"/>
      <c r="H46" s="50"/>
      <c r="I46" s="50"/>
      <c r="J46" s="50"/>
      <c r="K46" s="41"/>
      <c r="L46" s="50"/>
      <c r="M46" s="50"/>
      <c r="N46" s="50"/>
      <c r="O46" s="50"/>
      <c r="P46" s="50"/>
      <c r="Q46" s="50"/>
      <c r="R46" s="50"/>
    </row>
    <row r="47" spans="1:18" x14ac:dyDescent="0.35">
      <c r="A47" s="29" t="s">
        <v>1451</v>
      </c>
      <c r="B47" s="49">
        <f>VLOOKUP(B45,'Working BOQ'!A:N,14,0)</f>
        <v>1</v>
      </c>
      <c r="C47" s="41"/>
      <c r="D47" s="50"/>
      <c r="E47" s="50"/>
      <c r="F47" s="50"/>
      <c r="G47" s="50"/>
      <c r="H47" s="50"/>
      <c r="I47" s="50"/>
      <c r="J47" s="50"/>
      <c r="K47" s="41"/>
      <c r="L47" s="50"/>
      <c r="M47" s="50"/>
      <c r="N47" s="50"/>
      <c r="O47" s="50"/>
      <c r="P47" s="50"/>
      <c r="Q47" s="50"/>
      <c r="R47" s="50"/>
    </row>
    <row r="48" spans="1:18" x14ac:dyDescent="0.35">
      <c r="A48" s="29" t="s">
        <v>1</v>
      </c>
      <c r="B48" s="49" t="str">
        <f>VLOOKUP(B45,'Working BOQ'!A:K,11,0)</f>
        <v>L/s</v>
      </c>
      <c r="C48" s="41"/>
      <c r="D48" s="50"/>
      <c r="E48" s="50"/>
      <c r="F48" s="50"/>
      <c r="G48" s="50"/>
      <c r="H48" s="50"/>
      <c r="I48" s="50"/>
      <c r="J48" s="50"/>
      <c r="K48" s="41"/>
      <c r="L48" s="50"/>
      <c r="M48" s="50"/>
      <c r="N48" s="50"/>
      <c r="O48" s="50"/>
      <c r="P48" s="50"/>
      <c r="Q48" s="50"/>
      <c r="R48" s="50"/>
    </row>
    <row r="49" spans="1:18" s="6" customFormat="1" x14ac:dyDescent="0.35">
      <c r="A49" s="24" t="s">
        <v>110</v>
      </c>
      <c r="B49" s="5" t="s">
        <v>112</v>
      </c>
      <c r="C49" s="5" t="s">
        <v>111</v>
      </c>
      <c r="D49" s="16" t="s">
        <v>1200</v>
      </c>
      <c r="E49" s="16" t="s">
        <v>1200</v>
      </c>
      <c r="F49" s="16" t="s">
        <v>1452</v>
      </c>
      <c r="G49" s="16" t="s">
        <v>1453</v>
      </c>
      <c r="H49" s="16" t="s">
        <v>1454</v>
      </c>
      <c r="I49" s="16" t="s">
        <v>1455</v>
      </c>
      <c r="J49" s="16" t="s">
        <v>3</v>
      </c>
      <c r="K49" s="5" t="s">
        <v>1</v>
      </c>
      <c r="L49" s="16" t="s">
        <v>1456</v>
      </c>
      <c r="M49" s="16" t="s">
        <v>1457</v>
      </c>
      <c r="N49" s="16" t="s">
        <v>1458</v>
      </c>
      <c r="O49" s="16" t="s">
        <v>1459</v>
      </c>
      <c r="P49" s="16" t="s">
        <v>1122</v>
      </c>
      <c r="Q49" s="16" t="s">
        <v>1486</v>
      </c>
      <c r="R49" s="16" t="s">
        <v>1498</v>
      </c>
    </row>
    <row r="50" spans="1:18" x14ac:dyDescent="0.35">
      <c r="A50" s="27"/>
      <c r="B50" s="41"/>
      <c r="C50" s="41"/>
      <c r="D50" s="50"/>
      <c r="E50" s="50"/>
      <c r="F50" s="50"/>
      <c r="G50" s="50"/>
      <c r="H50" s="50"/>
      <c r="I50" s="50"/>
      <c r="J50" s="50"/>
      <c r="K50" s="41"/>
      <c r="L50" s="50"/>
      <c r="M50" s="50"/>
      <c r="N50" s="50"/>
      <c r="O50" s="50"/>
      <c r="P50" s="50"/>
      <c r="Q50" s="50"/>
      <c r="R50" s="50"/>
    </row>
    <row r="51" spans="1:18" x14ac:dyDescent="0.35">
      <c r="A51" s="26">
        <v>1</v>
      </c>
      <c r="B51" s="8" t="s">
        <v>1513</v>
      </c>
      <c r="C51" s="41" t="str">
        <f>VLOOKUP(B51,'Project Resource Master'!C:N,5,0)</f>
        <v>Sample Preparation</v>
      </c>
      <c r="D51" s="50">
        <v>1</v>
      </c>
      <c r="E51" s="50">
        <v>1</v>
      </c>
      <c r="F51" s="50">
        <v>1</v>
      </c>
      <c r="G51" s="50">
        <v>1</v>
      </c>
      <c r="H51" s="50">
        <v>1</v>
      </c>
      <c r="I51" s="50">
        <v>1</v>
      </c>
      <c r="J51" s="50">
        <f>PRODUCT(D51:I51)</f>
        <v>1</v>
      </c>
      <c r="K51" s="41" t="str">
        <f>VLOOKUP(B51,'Project Resource Master'!C:N,6,0)</f>
        <v>L/s</v>
      </c>
      <c r="L51" s="50">
        <f>VLOOKUP(B51,'Project Resource Master'!C:N,11,0)</f>
        <v>0</v>
      </c>
      <c r="M51" s="50">
        <f>J51*L51</f>
        <v>0</v>
      </c>
      <c r="N51" s="50">
        <f>+J51+M51</f>
        <v>1</v>
      </c>
      <c r="O51" s="50">
        <f>VLOOKUP(B51,'Project Resource Master'!C:N,12,0)</f>
        <v>100000</v>
      </c>
      <c r="P51" s="50">
        <f>+O51*N51</f>
        <v>100000</v>
      </c>
      <c r="Q51" s="50">
        <f>+N51*B47</f>
        <v>1</v>
      </c>
      <c r="R51" s="50">
        <f>Q51*O51</f>
        <v>100000</v>
      </c>
    </row>
    <row r="52" spans="1:18" x14ac:dyDescent="0.35">
      <c r="A52" s="27"/>
      <c r="B52" s="41"/>
      <c r="C52" s="41"/>
      <c r="D52" s="50"/>
      <c r="E52" s="50"/>
      <c r="F52" s="50"/>
      <c r="G52" s="50"/>
      <c r="H52" s="50"/>
      <c r="I52" s="50"/>
      <c r="J52" s="50"/>
      <c r="K52" s="41"/>
      <c r="L52" s="50"/>
      <c r="M52" s="50"/>
      <c r="N52" s="50"/>
      <c r="O52" s="50"/>
      <c r="P52" s="50"/>
      <c r="Q52" s="50"/>
      <c r="R52" s="50"/>
    </row>
    <row r="53" spans="1:18" s="14" customFormat="1" x14ac:dyDescent="0.35">
      <c r="A53" s="29" t="str">
        <f>B45</f>
        <v>1e</v>
      </c>
      <c r="B53" s="7"/>
      <c r="C53" s="7" t="s">
        <v>1485</v>
      </c>
      <c r="D53" s="51"/>
      <c r="E53" s="51"/>
      <c r="F53" s="51"/>
      <c r="G53" s="51"/>
      <c r="H53" s="51"/>
      <c r="I53" s="51"/>
      <c r="J53" s="51"/>
      <c r="K53" s="7"/>
      <c r="L53" s="51"/>
      <c r="M53" s="51"/>
      <c r="N53" s="51"/>
      <c r="O53" s="51"/>
      <c r="P53" s="51">
        <f>SUM(P50:P52)</f>
        <v>100000</v>
      </c>
      <c r="Q53" s="51"/>
      <c r="R53" s="51">
        <f>SUM(R50:R52)</f>
        <v>100000</v>
      </c>
    </row>
    <row r="56" spans="1:18" x14ac:dyDescent="0.35">
      <c r="A56" s="29" t="s">
        <v>1348</v>
      </c>
      <c r="B56" s="49" t="s">
        <v>1354</v>
      </c>
      <c r="C56" s="41"/>
      <c r="D56" s="50"/>
      <c r="E56" s="50"/>
      <c r="F56" s="50"/>
      <c r="G56" s="50"/>
      <c r="H56" s="50"/>
      <c r="I56" s="50"/>
      <c r="J56" s="50"/>
      <c r="K56" s="41"/>
      <c r="L56" s="50"/>
      <c r="M56" s="50"/>
      <c r="N56" s="50"/>
      <c r="O56" s="50"/>
      <c r="P56" s="50"/>
      <c r="Q56" s="50"/>
      <c r="R56" s="50"/>
    </row>
    <row r="57" spans="1:18" ht="29" x14ac:dyDescent="0.35">
      <c r="A57" s="29" t="s">
        <v>1450</v>
      </c>
      <c r="B57" s="49" t="str">
        <f>VLOOKUP(B56,'Working BOQ'!A:K,9,0)</f>
        <v>Mock-ups</v>
      </c>
      <c r="C57" s="41"/>
      <c r="D57" s="50"/>
      <c r="E57" s="50"/>
      <c r="F57" s="50"/>
      <c r="G57" s="50"/>
      <c r="H57" s="50"/>
      <c r="I57" s="50"/>
      <c r="J57" s="50"/>
      <c r="K57" s="41"/>
      <c r="L57" s="50"/>
      <c r="M57" s="50"/>
      <c r="N57" s="50"/>
      <c r="O57" s="50"/>
      <c r="P57" s="50"/>
      <c r="Q57" s="50"/>
      <c r="R57" s="50"/>
    </row>
    <row r="58" spans="1:18" x14ac:dyDescent="0.35">
      <c r="A58" s="29" t="s">
        <v>1451</v>
      </c>
      <c r="B58" s="49">
        <f>VLOOKUP(B56,'Working BOQ'!A:N,14,0)</f>
        <v>1</v>
      </c>
      <c r="C58" s="41"/>
      <c r="D58" s="50"/>
      <c r="E58" s="50"/>
      <c r="F58" s="50"/>
      <c r="G58" s="50"/>
      <c r="H58" s="50"/>
      <c r="I58" s="50"/>
      <c r="J58" s="50"/>
      <c r="K58" s="41"/>
      <c r="L58" s="50"/>
      <c r="M58" s="50"/>
      <c r="N58" s="50"/>
      <c r="O58" s="50"/>
      <c r="P58" s="50"/>
      <c r="Q58" s="50"/>
      <c r="R58" s="50"/>
    </row>
    <row r="59" spans="1:18" x14ac:dyDescent="0.35">
      <c r="A59" s="29" t="s">
        <v>1</v>
      </c>
      <c r="B59" s="49" t="str">
        <f>VLOOKUP(B56,'Working BOQ'!A:K,11,0)</f>
        <v>L/s</v>
      </c>
      <c r="C59" s="41"/>
      <c r="D59" s="50"/>
      <c r="E59" s="50"/>
      <c r="F59" s="50"/>
      <c r="G59" s="50"/>
      <c r="H59" s="50"/>
      <c r="I59" s="50"/>
      <c r="J59" s="50"/>
      <c r="K59" s="41"/>
      <c r="L59" s="50"/>
      <c r="M59" s="50"/>
      <c r="N59" s="50"/>
      <c r="O59" s="50"/>
      <c r="P59" s="50"/>
      <c r="Q59" s="50"/>
      <c r="R59" s="50"/>
    </row>
    <row r="60" spans="1:18" s="6" customFormat="1" x14ac:dyDescent="0.35">
      <c r="A60" s="24" t="s">
        <v>110</v>
      </c>
      <c r="B60" s="5" t="s">
        <v>112</v>
      </c>
      <c r="C60" s="5" t="s">
        <v>111</v>
      </c>
      <c r="D60" s="16" t="s">
        <v>1200</v>
      </c>
      <c r="E60" s="16" t="s">
        <v>1200</v>
      </c>
      <c r="F60" s="16" t="s">
        <v>1452</v>
      </c>
      <c r="G60" s="16" t="s">
        <v>1453</v>
      </c>
      <c r="H60" s="16" t="s">
        <v>1454</v>
      </c>
      <c r="I60" s="16" t="s">
        <v>1455</v>
      </c>
      <c r="J60" s="16" t="s">
        <v>3</v>
      </c>
      <c r="K60" s="5" t="s">
        <v>1</v>
      </c>
      <c r="L60" s="16" t="s">
        <v>1456</v>
      </c>
      <c r="M60" s="16" t="s">
        <v>1457</v>
      </c>
      <c r="N60" s="16" t="s">
        <v>1458</v>
      </c>
      <c r="O60" s="16" t="s">
        <v>1459</v>
      </c>
      <c r="P60" s="16" t="s">
        <v>1122</v>
      </c>
      <c r="Q60" s="16" t="s">
        <v>1486</v>
      </c>
      <c r="R60" s="16" t="s">
        <v>1498</v>
      </c>
    </row>
    <row r="61" spans="1:18" x14ac:dyDescent="0.35">
      <c r="A61" s="27"/>
      <c r="B61" s="41"/>
      <c r="C61" s="41"/>
      <c r="D61" s="50"/>
      <c r="E61" s="50"/>
      <c r="F61" s="50"/>
      <c r="G61" s="50"/>
      <c r="H61" s="50"/>
      <c r="I61" s="50"/>
      <c r="J61" s="50"/>
      <c r="K61" s="41"/>
      <c r="L61" s="50"/>
      <c r="M61" s="50"/>
      <c r="N61" s="50"/>
      <c r="O61" s="50"/>
      <c r="P61" s="50"/>
      <c r="Q61" s="50"/>
      <c r="R61" s="50"/>
    </row>
    <row r="62" spans="1:18" x14ac:dyDescent="0.35">
      <c r="A62" s="26">
        <v>1</v>
      </c>
      <c r="B62" s="8" t="s">
        <v>1514</v>
      </c>
      <c r="C62" s="41" t="str">
        <f>VLOOKUP(B62,'Project Resource Master'!C:N,5,0)</f>
        <v>Mock-ups</v>
      </c>
      <c r="D62" s="50">
        <v>1</v>
      </c>
      <c r="E62" s="50">
        <v>1</v>
      </c>
      <c r="F62" s="50">
        <v>1</v>
      </c>
      <c r="G62" s="50">
        <v>1</v>
      </c>
      <c r="H62" s="50">
        <v>1</v>
      </c>
      <c r="I62" s="50">
        <v>1</v>
      </c>
      <c r="J62" s="50">
        <f>PRODUCT(D62:I62)</f>
        <v>1</v>
      </c>
      <c r="K62" s="41" t="str">
        <f>VLOOKUP(B62,'Project Resource Master'!C:N,6,0)</f>
        <v>L/s</v>
      </c>
      <c r="L62" s="50">
        <f>VLOOKUP(B62,'Project Resource Master'!C:N,11,0)</f>
        <v>0</v>
      </c>
      <c r="M62" s="50">
        <f>J62*L62</f>
        <v>0</v>
      </c>
      <c r="N62" s="50">
        <f>+J62+M62</f>
        <v>1</v>
      </c>
      <c r="O62" s="50">
        <f>VLOOKUP(B62,'Project Resource Master'!C:N,12,0)</f>
        <v>100000</v>
      </c>
      <c r="P62" s="50">
        <f>+O62*N62</f>
        <v>100000</v>
      </c>
      <c r="Q62" s="50">
        <f>+N62*B58</f>
        <v>1</v>
      </c>
      <c r="R62" s="50">
        <f>Q62*O62</f>
        <v>100000</v>
      </c>
    </row>
    <row r="63" spans="1:18" x14ac:dyDescent="0.35">
      <c r="A63" s="27"/>
      <c r="B63" s="41"/>
      <c r="C63" s="41"/>
      <c r="D63" s="50"/>
      <c r="E63" s="50"/>
      <c r="F63" s="50"/>
      <c r="G63" s="50"/>
      <c r="H63" s="50"/>
      <c r="I63" s="50"/>
      <c r="J63" s="50"/>
      <c r="K63" s="41"/>
      <c r="L63" s="50"/>
      <c r="M63" s="50"/>
      <c r="N63" s="50"/>
      <c r="O63" s="50"/>
      <c r="P63" s="50"/>
      <c r="Q63" s="50"/>
      <c r="R63" s="50"/>
    </row>
    <row r="64" spans="1:18" s="14" customFormat="1" x14ac:dyDescent="0.35">
      <c r="A64" s="29" t="str">
        <f>B56</f>
        <v>1f</v>
      </c>
      <c r="B64" s="7"/>
      <c r="C64" s="7" t="s">
        <v>1485</v>
      </c>
      <c r="D64" s="51"/>
      <c r="E64" s="51"/>
      <c r="F64" s="51"/>
      <c r="G64" s="51"/>
      <c r="H64" s="51"/>
      <c r="I64" s="51"/>
      <c r="J64" s="51"/>
      <c r="K64" s="7"/>
      <c r="L64" s="51"/>
      <c r="M64" s="51"/>
      <c r="N64" s="51"/>
      <c r="O64" s="51"/>
      <c r="P64" s="51">
        <f>SUM(P61:P63)</f>
        <v>100000</v>
      </c>
      <c r="Q64" s="51"/>
      <c r="R64" s="51">
        <f>SUM(R61:R63)</f>
        <v>100000</v>
      </c>
    </row>
    <row r="67" spans="1:18" x14ac:dyDescent="0.35">
      <c r="A67" s="29" t="s">
        <v>1348</v>
      </c>
      <c r="B67" s="49" t="s">
        <v>1355</v>
      </c>
      <c r="C67" s="41"/>
      <c r="D67" s="50"/>
      <c r="E67" s="50"/>
      <c r="F67" s="50"/>
      <c r="G67" s="50"/>
      <c r="H67" s="50"/>
      <c r="I67" s="50"/>
      <c r="J67" s="50"/>
      <c r="K67" s="41"/>
      <c r="L67" s="50"/>
      <c r="M67" s="50"/>
      <c r="N67" s="50"/>
      <c r="O67" s="50"/>
      <c r="P67" s="50"/>
      <c r="Q67" s="50"/>
      <c r="R67" s="50"/>
    </row>
    <row r="68" spans="1:18" ht="29" x14ac:dyDescent="0.35">
      <c r="A68" s="29" t="s">
        <v>1450</v>
      </c>
      <c r="B68" s="49" t="str">
        <f>VLOOKUP(B67,'Working BOQ'!A:K,9,0)</f>
        <v>Bonds</v>
      </c>
      <c r="C68" s="41"/>
      <c r="D68" s="50"/>
      <c r="E68" s="50"/>
      <c r="F68" s="50"/>
      <c r="G68" s="50"/>
      <c r="H68" s="50"/>
      <c r="I68" s="50"/>
      <c r="J68" s="50"/>
      <c r="K68" s="41"/>
      <c r="L68" s="50"/>
      <c r="M68" s="50"/>
      <c r="N68" s="50"/>
      <c r="O68" s="50"/>
      <c r="P68" s="50"/>
      <c r="Q68" s="50"/>
      <c r="R68" s="50"/>
    </row>
    <row r="69" spans="1:18" x14ac:dyDescent="0.35">
      <c r="A69" s="29" t="s">
        <v>1451</v>
      </c>
      <c r="B69" s="49">
        <f>VLOOKUP(B67,'Working BOQ'!A:N,14,0)</f>
        <v>1</v>
      </c>
      <c r="C69" s="41"/>
      <c r="D69" s="50"/>
      <c r="E69" s="50"/>
      <c r="F69" s="50"/>
      <c r="G69" s="50"/>
      <c r="H69" s="50"/>
      <c r="I69" s="50"/>
      <c r="J69" s="50"/>
      <c r="K69" s="41"/>
      <c r="L69" s="50"/>
      <c r="M69" s="50"/>
      <c r="N69" s="50"/>
      <c r="O69" s="50"/>
      <c r="P69" s="50"/>
      <c r="Q69" s="50"/>
      <c r="R69" s="50"/>
    </row>
    <row r="70" spans="1:18" x14ac:dyDescent="0.35">
      <c r="A70" s="29" t="s">
        <v>1</v>
      </c>
      <c r="B70" s="49" t="str">
        <f>VLOOKUP(B67,'Working BOQ'!A:K,11,0)</f>
        <v>L/s</v>
      </c>
      <c r="C70" s="41"/>
      <c r="D70" s="50"/>
      <c r="E70" s="50"/>
      <c r="F70" s="50"/>
      <c r="G70" s="50"/>
      <c r="H70" s="50"/>
      <c r="I70" s="50"/>
      <c r="J70" s="50"/>
      <c r="K70" s="41"/>
      <c r="L70" s="50"/>
      <c r="M70" s="50"/>
      <c r="N70" s="50"/>
      <c r="O70" s="50"/>
      <c r="P70" s="50"/>
      <c r="Q70" s="50"/>
      <c r="R70" s="50"/>
    </row>
    <row r="71" spans="1:18" s="6" customFormat="1" x14ac:dyDescent="0.35">
      <c r="A71" s="24" t="s">
        <v>110</v>
      </c>
      <c r="B71" s="5" t="s">
        <v>112</v>
      </c>
      <c r="C71" s="5" t="s">
        <v>111</v>
      </c>
      <c r="D71" s="16" t="s">
        <v>1200</v>
      </c>
      <c r="E71" s="16" t="s">
        <v>1200</v>
      </c>
      <c r="F71" s="16" t="s">
        <v>1452</v>
      </c>
      <c r="G71" s="16" t="s">
        <v>1453</v>
      </c>
      <c r="H71" s="16" t="s">
        <v>1454</v>
      </c>
      <c r="I71" s="16" t="s">
        <v>1455</v>
      </c>
      <c r="J71" s="16" t="s">
        <v>3</v>
      </c>
      <c r="K71" s="5" t="s">
        <v>1</v>
      </c>
      <c r="L71" s="16" t="s">
        <v>1456</v>
      </c>
      <c r="M71" s="16" t="s">
        <v>1457</v>
      </c>
      <c r="N71" s="16" t="s">
        <v>1458</v>
      </c>
      <c r="O71" s="16" t="s">
        <v>1459</v>
      </c>
      <c r="P71" s="16" t="s">
        <v>1122</v>
      </c>
      <c r="Q71" s="16" t="s">
        <v>1486</v>
      </c>
      <c r="R71" s="16" t="s">
        <v>1498</v>
      </c>
    </row>
    <row r="72" spans="1:18" x14ac:dyDescent="0.35">
      <c r="A72" s="27"/>
      <c r="B72" s="41"/>
      <c r="C72" s="41"/>
      <c r="D72" s="50"/>
      <c r="E72" s="50"/>
      <c r="F72" s="50"/>
      <c r="G72" s="50"/>
      <c r="H72" s="50"/>
      <c r="I72" s="50"/>
      <c r="J72" s="50"/>
      <c r="K72" s="41"/>
      <c r="L72" s="50"/>
      <c r="M72" s="50"/>
      <c r="N72" s="50"/>
      <c r="O72" s="50"/>
      <c r="P72" s="50"/>
      <c r="Q72" s="50"/>
      <c r="R72" s="50"/>
    </row>
    <row r="73" spans="1:18" x14ac:dyDescent="0.35">
      <c r="A73" s="26">
        <v>1</v>
      </c>
      <c r="B73" s="8" t="s">
        <v>1515</v>
      </c>
      <c r="C73" s="41" t="str">
        <f>VLOOKUP(B73,'Project Resource Master'!C:N,5,0)</f>
        <v>Bonds</v>
      </c>
      <c r="D73" s="50">
        <v>1</v>
      </c>
      <c r="E73" s="50">
        <v>1</v>
      </c>
      <c r="F73" s="50">
        <v>1</v>
      </c>
      <c r="G73" s="50">
        <v>1</v>
      </c>
      <c r="H73" s="50">
        <v>1</v>
      </c>
      <c r="I73" s="50">
        <v>1</v>
      </c>
      <c r="J73" s="50">
        <f>PRODUCT(D73:I73)</f>
        <v>1</v>
      </c>
      <c r="K73" s="41" t="str">
        <f>VLOOKUP(B73,'Project Resource Master'!C:N,6,0)</f>
        <v>L/s</v>
      </c>
      <c r="L73" s="50">
        <f>VLOOKUP(B73,'Project Resource Master'!C:N,11,0)</f>
        <v>0</v>
      </c>
      <c r="M73" s="50">
        <f>J73*L73</f>
        <v>0</v>
      </c>
      <c r="N73" s="50">
        <f>+J73+M73</f>
        <v>1</v>
      </c>
      <c r="O73" s="50">
        <f>VLOOKUP(B73,'Project Resource Master'!C:N,12,0)</f>
        <v>100000</v>
      </c>
      <c r="P73" s="50">
        <f>+O73*N73</f>
        <v>100000</v>
      </c>
      <c r="Q73" s="50">
        <f>+N73*B69</f>
        <v>1</v>
      </c>
      <c r="R73" s="50">
        <f>Q73*O73</f>
        <v>100000</v>
      </c>
    </row>
    <row r="74" spans="1:18" x14ac:dyDescent="0.35">
      <c r="A74" s="27"/>
      <c r="B74" s="41"/>
      <c r="C74" s="41"/>
      <c r="D74" s="50"/>
      <c r="E74" s="50"/>
      <c r="F74" s="50"/>
      <c r="G74" s="50"/>
      <c r="H74" s="50"/>
      <c r="I74" s="50"/>
      <c r="J74" s="50"/>
      <c r="K74" s="41"/>
      <c r="L74" s="50"/>
      <c r="M74" s="50"/>
      <c r="N74" s="50"/>
      <c r="O74" s="50"/>
      <c r="P74" s="50"/>
      <c r="Q74" s="50"/>
      <c r="R74" s="50"/>
    </row>
    <row r="75" spans="1:18" s="14" customFormat="1" x14ac:dyDescent="0.35">
      <c r="A75" s="29" t="str">
        <f>B67</f>
        <v>1g</v>
      </c>
      <c r="B75" s="7"/>
      <c r="C75" s="7" t="s">
        <v>1485</v>
      </c>
      <c r="D75" s="51"/>
      <c r="E75" s="51"/>
      <c r="F75" s="51"/>
      <c r="G75" s="51"/>
      <c r="H75" s="51"/>
      <c r="I75" s="51"/>
      <c r="J75" s="51"/>
      <c r="K75" s="7"/>
      <c r="L75" s="51"/>
      <c r="M75" s="51"/>
      <c r="N75" s="51"/>
      <c r="O75" s="51"/>
      <c r="P75" s="51">
        <f>SUM(P72:P74)</f>
        <v>100000</v>
      </c>
      <c r="Q75" s="51"/>
      <c r="R75" s="51">
        <f>SUM(R72:R74)</f>
        <v>100000</v>
      </c>
    </row>
    <row r="78" spans="1:18" x14ac:dyDescent="0.35">
      <c r="A78" s="29" t="s">
        <v>1348</v>
      </c>
      <c r="B78" s="49" t="s">
        <v>1356</v>
      </c>
      <c r="C78" s="41"/>
      <c r="D78" s="50"/>
      <c r="E78" s="50"/>
      <c r="F78" s="50"/>
      <c r="G78" s="50"/>
      <c r="H78" s="50"/>
      <c r="I78" s="50"/>
      <c r="J78" s="50"/>
      <c r="K78" s="41"/>
      <c r="L78" s="50"/>
      <c r="M78" s="50"/>
      <c r="N78" s="50"/>
      <c r="O78" s="50"/>
      <c r="P78" s="50"/>
      <c r="Q78" s="50"/>
      <c r="R78" s="50"/>
    </row>
    <row r="79" spans="1:18" ht="29" x14ac:dyDescent="0.35">
      <c r="A79" s="29" t="s">
        <v>1450</v>
      </c>
      <c r="B79" s="49" t="str">
        <f>VLOOKUP(B78,'Working BOQ'!A:K,9,0)</f>
        <v>Site-Office Setup</v>
      </c>
      <c r="C79" s="41"/>
      <c r="D79" s="50"/>
      <c r="E79" s="50"/>
      <c r="F79" s="50"/>
      <c r="G79" s="50"/>
      <c r="H79" s="50"/>
      <c r="I79" s="50"/>
      <c r="J79" s="50"/>
      <c r="K79" s="41"/>
      <c r="L79" s="50"/>
      <c r="M79" s="50"/>
      <c r="N79" s="50"/>
      <c r="O79" s="50"/>
      <c r="P79" s="50"/>
      <c r="Q79" s="50"/>
      <c r="R79" s="50"/>
    </row>
    <row r="80" spans="1:18" x14ac:dyDescent="0.35">
      <c r="A80" s="29" t="s">
        <v>1451</v>
      </c>
      <c r="B80" s="49">
        <f>VLOOKUP(B78,'Working BOQ'!A:N,14,0)</f>
        <v>1</v>
      </c>
      <c r="C80" s="41"/>
      <c r="D80" s="50"/>
      <c r="E80" s="50"/>
      <c r="F80" s="50"/>
      <c r="G80" s="50"/>
      <c r="H80" s="50"/>
      <c r="I80" s="50"/>
      <c r="J80" s="50"/>
      <c r="K80" s="41"/>
      <c r="L80" s="50"/>
      <c r="M80" s="50"/>
      <c r="N80" s="50"/>
      <c r="O80" s="50"/>
      <c r="P80" s="50"/>
      <c r="Q80" s="50"/>
      <c r="R80" s="50"/>
    </row>
    <row r="81" spans="1:18" x14ac:dyDescent="0.35">
      <c r="A81" s="29" t="s">
        <v>1</v>
      </c>
      <c r="B81" s="49" t="str">
        <f>VLOOKUP(B78,'Working BOQ'!A:K,11,0)</f>
        <v>L/s</v>
      </c>
      <c r="C81" s="41"/>
      <c r="D81" s="50"/>
      <c r="E81" s="50"/>
      <c r="F81" s="50"/>
      <c r="G81" s="50"/>
      <c r="H81" s="50"/>
      <c r="I81" s="50"/>
      <c r="J81" s="50"/>
      <c r="K81" s="41"/>
      <c r="L81" s="50"/>
      <c r="M81" s="50"/>
      <c r="N81" s="50"/>
      <c r="O81" s="50"/>
      <c r="P81" s="50"/>
      <c r="Q81" s="50"/>
      <c r="R81" s="50"/>
    </row>
    <row r="82" spans="1:18" s="6" customFormat="1" x14ac:dyDescent="0.35">
      <c r="A82" s="24" t="s">
        <v>110</v>
      </c>
      <c r="B82" s="5" t="s">
        <v>112</v>
      </c>
      <c r="C82" s="5" t="s">
        <v>111</v>
      </c>
      <c r="D82" s="16" t="s">
        <v>1200</v>
      </c>
      <c r="E82" s="16" t="s">
        <v>1200</v>
      </c>
      <c r="F82" s="16" t="s">
        <v>1452</v>
      </c>
      <c r="G82" s="16" t="s">
        <v>1453</v>
      </c>
      <c r="H82" s="16" t="s">
        <v>1454</v>
      </c>
      <c r="I82" s="16" t="s">
        <v>1455</v>
      </c>
      <c r="J82" s="16" t="s">
        <v>3</v>
      </c>
      <c r="K82" s="5" t="s">
        <v>1</v>
      </c>
      <c r="L82" s="16" t="s">
        <v>1456</v>
      </c>
      <c r="M82" s="16" t="s">
        <v>1457</v>
      </c>
      <c r="N82" s="16" t="s">
        <v>1458</v>
      </c>
      <c r="O82" s="16" t="s">
        <v>1459</v>
      </c>
      <c r="P82" s="16" t="s">
        <v>1122</v>
      </c>
      <c r="Q82" s="16" t="s">
        <v>1486</v>
      </c>
      <c r="R82" s="16" t="s">
        <v>1498</v>
      </c>
    </row>
    <row r="83" spans="1:18" x14ac:dyDescent="0.35">
      <c r="A83" s="27"/>
      <c r="B83" s="41"/>
      <c r="C83" s="41"/>
      <c r="D83" s="50"/>
      <c r="E83" s="50"/>
      <c r="F83" s="50"/>
      <c r="G83" s="50"/>
      <c r="H83" s="50"/>
      <c r="I83" s="50"/>
      <c r="J83" s="50"/>
      <c r="K83" s="41"/>
      <c r="L83" s="50"/>
      <c r="M83" s="50"/>
      <c r="N83" s="50"/>
      <c r="O83" s="50"/>
      <c r="P83" s="50"/>
      <c r="Q83" s="50"/>
      <c r="R83" s="50"/>
    </row>
    <row r="84" spans="1:18" x14ac:dyDescent="0.35">
      <c r="A84" s="26">
        <v>1</v>
      </c>
      <c r="B84" s="8" t="s">
        <v>1516</v>
      </c>
      <c r="C84" s="41" t="str">
        <f>VLOOKUP(B84,'Project Resource Master'!C:N,5,0)</f>
        <v>Site-Office Setup</v>
      </c>
      <c r="D84" s="50">
        <v>1</v>
      </c>
      <c r="E84" s="50">
        <v>1</v>
      </c>
      <c r="F84" s="50">
        <v>1</v>
      </c>
      <c r="G84" s="50">
        <v>1</v>
      </c>
      <c r="H84" s="50">
        <v>1</v>
      </c>
      <c r="I84" s="50">
        <v>1</v>
      </c>
      <c r="J84" s="50">
        <f>PRODUCT(D84:I84)</f>
        <v>1</v>
      </c>
      <c r="K84" s="41" t="str">
        <f>VLOOKUP(B84,'Project Resource Master'!C:N,6,0)</f>
        <v>L/s</v>
      </c>
      <c r="L84" s="50">
        <f>VLOOKUP(B84,'Project Resource Master'!C:N,11,0)</f>
        <v>0</v>
      </c>
      <c r="M84" s="50">
        <f>J84*L84</f>
        <v>0</v>
      </c>
      <c r="N84" s="50">
        <f>+J84+M84</f>
        <v>1</v>
      </c>
      <c r="O84" s="50">
        <f>VLOOKUP(B84,'Project Resource Master'!C:N,12,0)</f>
        <v>100000</v>
      </c>
      <c r="P84" s="50">
        <f>+O84*N84</f>
        <v>100000</v>
      </c>
      <c r="Q84" s="50">
        <f>+N84*B80</f>
        <v>1</v>
      </c>
      <c r="R84" s="50">
        <f>Q84*O84</f>
        <v>100000</v>
      </c>
    </row>
    <row r="85" spans="1:18" x14ac:dyDescent="0.35">
      <c r="A85" s="27"/>
      <c r="B85" s="41"/>
      <c r="C85" s="41"/>
      <c r="D85" s="50"/>
      <c r="E85" s="50"/>
      <c r="F85" s="50"/>
      <c r="G85" s="50"/>
      <c r="H85" s="50"/>
      <c r="I85" s="50"/>
      <c r="J85" s="50"/>
      <c r="K85" s="41"/>
      <c r="L85" s="50"/>
      <c r="M85" s="50"/>
      <c r="N85" s="50"/>
      <c r="O85" s="50"/>
      <c r="P85" s="50"/>
      <c r="Q85" s="50"/>
      <c r="R85" s="50"/>
    </row>
    <row r="86" spans="1:18" s="14" customFormat="1" x14ac:dyDescent="0.35">
      <c r="A86" s="29" t="str">
        <f>B78</f>
        <v>1h</v>
      </c>
      <c r="B86" s="7"/>
      <c r="C86" s="7" t="s">
        <v>1485</v>
      </c>
      <c r="D86" s="51"/>
      <c r="E86" s="51"/>
      <c r="F86" s="51"/>
      <c r="G86" s="51"/>
      <c r="H86" s="51"/>
      <c r="I86" s="51"/>
      <c r="J86" s="51"/>
      <c r="K86" s="7"/>
      <c r="L86" s="51"/>
      <c r="M86" s="51"/>
      <c r="N86" s="51"/>
      <c r="O86" s="51"/>
      <c r="P86" s="51">
        <f>SUM(P83:P85)</f>
        <v>100000</v>
      </c>
      <c r="Q86" s="51"/>
      <c r="R86" s="51">
        <f>SUM(R83:R85)</f>
        <v>100000</v>
      </c>
    </row>
    <row r="89" spans="1:18" x14ac:dyDescent="0.35">
      <c r="A89" s="29" t="s">
        <v>1348</v>
      </c>
      <c r="B89" s="49" t="s">
        <v>1501</v>
      </c>
      <c r="C89" s="41"/>
      <c r="D89" s="50"/>
      <c r="E89" s="50"/>
      <c r="F89" s="50"/>
      <c r="G89" s="50"/>
      <c r="H89" s="50"/>
      <c r="I89" s="50"/>
      <c r="J89" s="50"/>
      <c r="K89" s="41"/>
      <c r="L89" s="50"/>
      <c r="M89" s="50"/>
      <c r="N89" s="50"/>
      <c r="O89" s="50"/>
      <c r="P89" s="50"/>
      <c r="Q89" s="50"/>
      <c r="R89" s="50"/>
    </row>
    <row r="90" spans="1:18" ht="29" x14ac:dyDescent="0.35">
      <c r="A90" s="29" t="s">
        <v>1450</v>
      </c>
      <c r="B90" s="49" t="str">
        <f>VLOOKUP(B89,'Working BOQ'!A:K,9,0)</f>
        <v>Insurances</v>
      </c>
      <c r="C90" s="41"/>
      <c r="D90" s="50"/>
      <c r="E90" s="50"/>
      <c r="F90" s="50"/>
      <c r="G90" s="50"/>
      <c r="H90" s="50"/>
      <c r="I90" s="50"/>
      <c r="J90" s="50"/>
      <c r="K90" s="41"/>
      <c r="L90" s="50"/>
      <c r="M90" s="50"/>
      <c r="N90" s="50"/>
      <c r="O90" s="50"/>
      <c r="P90" s="50"/>
      <c r="Q90" s="50"/>
      <c r="R90" s="50"/>
    </row>
    <row r="91" spans="1:18" x14ac:dyDescent="0.35">
      <c r="A91" s="29" t="s">
        <v>1451</v>
      </c>
      <c r="B91" s="49">
        <f>VLOOKUP(B89,'Working BOQ'!A:N,14,0)</f>
        <v>1</v>
      </c>
      <c r="C91" s="41"/>
      <c r="D91" s="50"/>
      <c r="E91" s="50"/>
      <c r="F91" s="50"/>
      <c r="G91" s="50"/>
      <c r="H91" s="50"/>
      <c r="I91" s="50"/>
      <c r="J91" s="50"/>
      <c r="K91" s="41"/>
      <c r="L91" s="50"/>
      <c r="M91" s="50"/>
      <c r="N91" s="50"/>
      <c r="O91" s="50"/>
      <c r="P91" s="50"/>
      <c r="Q91" s="50"/>
      <c r="R91" s="50"/>
    </row>
    <row r="92" spans="1:18" x14ac:dyDescent="0.35">
      <c r="A92" s="29" t="s">
        <v>1</v>
      </c>
      <c r="B92" s="49" t="str">
        <f>VLOOKUP(B89,'Working BOQ'!A:K,11,0)</f>
        <v>L/s</v>
      </c>
      <c r="C92" s="41"/>
      <c r="D92" s="50"/>
      <c r="E92" s="50"/>
      <c r="F92" s="50"/>
      <c r="G92" s="50"/>
      <c r="H92" s="50"/>
      <c r="I92" s="50"/>
      <c r="J92" s="50"/>
      <c r="K92" s="41"/>
      <c r="L92" s="50"/>
      <c r="M92" s="50"/>
      <c r="N92" s="50"/>
      <c r="O92" s="50"/>
      <c r="P92" s="50"/>
      <c r="Q92" s="50"/>
      <c r="R92" s="50"/>
    </row>
    <row r="93" spans="1:18" s="6" customFormat="1" x14ac:dyDescent="0.35">
      <c r="A93" s="24" t="s">
        <v>110</v>
      </c>
      <c r="B93" s="5" t="s">
        <v>112</v>
      </c>
      <c r="C93" s="5" t="s">
        <v>111</v>
      </c>
      <c r="D93" s="16" t="s">
        <v>1200</v>
      </c>
      <c r="E93" s="16" t="s">
        <v>1200</v>
      </c>
      <c r="F93" s="16" t="s">
        <v>1452</v>
      </c>
      <c r="G93" s="16" t="s">
        <v>1453</v>
      </c>
      <c r="H93" s="16" t="s">
        <v>1454</v>
      </c>
      <c r="I93" s="16" t="s">
        <v>1455</v>
      </c>
      <c r="J93" s="16" t="s">
        <v>3</v>
      </c>
      <c r="K93" s="5" t="s">
        <v>1</v>
      </c>
      <c r="L93" s="16" t="s">
        <v>1456</v>
      </c>
      <c r="M93" s="16" t="s">
        <v>1457</v>
      </c>
      <c r="N93" s="16" t="s">
        <v>1458</v>
      </c>
      <c r="O93" s="16" t="s">
        <v>1459</v>
      </c>
      <c r="P93" s="16" t="s">
        <v>1122</v>
      </c>
      <c r="Q93" s="16" t="s">
        <v>1486</v>
      </c>
      <c r="R93" s="16" t="s">
        <v>1498</v>
      </c>
    </row>
    <row r="94" spans="1:18" x14ac:dyDescent="0.35">
      <c r="A94" s="27"/>
      <c r="B94" s="41"/>
      <c r="C94" s="41"/>
      <c r="D94" s="50"/>
      <c r="E94" s="50"/>
      <c r="F94" s="50"/>
      <c r="G94" s="50"/>
      <c r="H94" s="50"/>
      <c r="I94" s="50"/>
      <c r="J94" s="50"/>
      <c r="K94" s="41"/>
      <c r="L94" s="50"/>
      <c r="M94" s="50"/>
      <c r="N94" s="50"/>
      <c r="O94" s="50"/>
      <c r="P94" s="50"/>
      <c r="Q94" s="50"/>
      <c r="R94" s="50"/>
    </row>
    <row r="95" spans="1:18" x14ac:dyDescent="0.35">
      <c r="A95" s="26">
        <v>1</v>
      </c>
      <c r="B95" s="8" t="s">
        <v>1517</v>
      </c>
      <c r="C95" s="41" t="str">
        <f>VLOOKUP(B95,'Project Resource Master'!C:N,5,0)</f>
        <v>Insurances</v>
      </c>
      <c r="D95" s="50">
        <v>1</v>
      </c>
      <c r="E95" s="50">
        <v>1</v>
      </c>
      <c r="F95" s="50">
        <v>1</v>
      </c>
      <c r="G95" s="50">
        <v>1</v>
      </c>
      <c r="H95" s="50">
        <v>1</v>
      </c>
      <c r="I95" s="50">
        <v>1</v>
      </c>
      <c r="J95" s="50">
        <f>PRODUCT(D95:I95)</f>
        <v>1</v>
      </c>
      <c r="K95" s="41" t="str">
        <f>VLOOKUP(B95,'Project Resource Master'!C:N,6,0)</f>
        <v>L/s</v>
      </c>
      <c r="L95" s="50">
        <f>VLOOKUP(B95,'Project Resource Master'!C:N,11,0)</f>
        <v>0</v>
      </c>
      <c r="M95" s="50">
        <f>J95*L95</f>
        <v>0</v>
      </c>
      <c r="N95" s="50">
        <f>+J95+M95</f>
        <v>1</v>
      </c>
      <c r="O95" s="50">
        <f>VLOOKUP(B95,'Project Resource Master'!C:N,12,0)</f>
        <v>100000</v>
      </c>
      <c r="P95" s="50">
        <f>+O95*N95</f>
        <v>100000</v>
      </c>
      <c r="Q95" s="50">
        <f>+N95*B91</f>
        <v>1</v>
      </c>
      <c r="R95" s="50">
        <f>Q95*O95</f>
        <v>100000</v>
      </c>
    </row>
    <row r="96" spans="1:18" x14ac:dyDescent="0.35">
      <c r="A96" s="27"/>
      <c r="B96" s="41"/>
      <c r="C96" s="41"/>
      <c r="D96" s="50"/>
      <c r="E96" s="50"/>
      <c r="F96" s="50"/>
      <c r="G96" s="50"/>
      <c r="H96" s="50"/>
      <c r="I96" s="50"/>
      <c r="J96" s="50"/>
      <c r="K96" s="41"/>
      <c r="L96" s="50"/>
      <c r="M96" s="50"/>
      <c r="N96" s="50"/>
      <c r="O96" s="50"/>
      <c r="P96" s="50"/>
      <c r="Q96" s="50"/>
      <c r="R96" s="50"/>
    </row>
    <row r="97" spans="1:18" s="14" customFormat="1" x14ac:dyDescent="0.35">
      <c r="A97" s="29" t="str">
        <f>B89</f>
        <v>1I</v>
      </c>
      <c r="B97" s="7"/>
      <c r="C97" s="7" t="s">
        <v>1485</v>
      </c>
      <c r="D97" s="51"/>
      <c r="E97" s="51"/>
      <c r="F97" s="51"/>
      <c r="G97" s="51"/>
      <c r="H97" s="51"/>
      <c r="I97" s="51"/>
      <c r="J97" s="51"/>
      <c r="K97" s="7"/>
      <c r="L97" s="51"/>
      <c r="M97" s="51"/>
      <c r="N97" s="51"/>
      <c r="O97" s="51"/>
      <c r="P97" s="51">
        <f>SUM(P94:P96)</f>
        <v>100000</v>
      </c>
      <c r="Q97" s="51"/>
      <c r="R97" s="51">
        <f>SUM(R94:R96)</f>
        <v>100000</v>
      </c>
    </row>
    <row r="100" spans="1:18" x14ac:dyDescent="0.35">
      <c r="A100" s="29" t="s">
        <v>1348</v>
      </c>
      <c r="B100" s="49" t="s">
        <v>1358</v>
      </c>
      <c r="C100" s="41"/>
      <c r="D100" s="50"/>
      <c r="E100" s="50"/>
      <c r="F100" s="50"/>
      <c r="G100" s="50"/>
      <c r="H100" s="50"/>
      <c r="I100" s="50"/>
      <c r="J100" s="50"/>
      <c r="K100" s="41"/>
      <c r="L100" s="50"/>
      <c r="M100" s="50"/>
      <c r="N100" s="50"/>
      <c r="O100" s="50"/>
      <c r="P100" s="50"/>
      <c r="Q100" s="50"/>
      <c r="R100" s="50"/>
    </row>
    <row r="101" spans="1:18" ht="29" x14ac:dyDescent="0.35">
      <c r="A101" s="29" t="s">
        <v>1450</v>
      </c>
      <c r="B101" s="49" t="str">
        <f>VLOOKUP(B100,'Working BOQ'!A:K,9,0)</f>
        <v>Demolition of Blockwork</v>
      </c>
      <c r="C101" s="41"/>
      <c r="D101" s="50"/>
      <c r="E101" s="50"/>
      <c r="F101" s="50"/>
      <c r="G101" s="50"/>
      <c r="H101" s="50"/>
      <c r="I101" s="50"/>
      <c r="J101" s="50"/>
      <c r="K101" s="41"/>
      <c r="L101" s="50"/>
      <c r="M101" s="50"/>
      <c r="N101" s="50"/>
      <c r="O101" s="50"/>
      <c r="P101" s="50"/>
      <c r="Q101" s="50"/>
      <c r="R101" s="50"/>
    </row>
    <row r="102" spans="1:18" x14ac:dyDescent="0.35">
      <c r="A102" s="29" t="s">
        <v>1451</v>
      </c>
      <c r="B102" s="49">
        <f>VLOOKUP(B100,'Working BOQ'!A:N,14,0)</f>
        <v>1</v>
      </c>
      <c r="C102" s="41"/>
      <c r="D102" s="50"/>
      <c r="E102" s="50"/>
      <c r="F102" s="50"/>
      <c r="G102" s="50"/>
      <c r="H102" s="50"/>
      <c r="I102" s="50"/>
      <c r="J102" s="50"/>
      <c r="K102" s="41"/>
      <c r="L102" s="50"/>
      <c r="M102" s="50"/>
      <c r="N102" s="50"/>
      <c r="O102" s="50"/>
      <c r="P102" s="50"/>
      <c r="Q102" s="50"/>
      <c r="R102" s="50"/>
    </row>
    <row r="103" spans="1:18" x14ac:dyDescent="0.35">
      <c r="A103" s="29" t="s">
        <v>1</v>
      </c>
      <c r="B103" s="49" t="str">
        <f>VLOOKUP(B100,'Working BOQ'!A:K,11,0)</f>
        <v>L/s</v>
      </c>
      <c r="C103" s="41"/>
      <c r="D103" s="50"/>
      <c r="E103" s="50"/>
      <c r="F103" s="50"/>
      <c r="G103" s="50"/>
      <c r="H103" s="50"/>
      <c r="I103" s="50"/>
      <c r="J103" s="50"/>
      <c r="K103" s="41"/>
      <c r="L103" s="50"/>
      <c r="M103" s="50"/>
      <c r="N103" s="50"/>
      <c r="O103" s="50"/>
      <c r="P103" s="50"/>
      <c r="Q103" s="50"/>
      <c r="R103" s="50"/>
    </row>
    <row r="104" spans="1:18" s="6" customFormat="1" x14ac:dyDescent="0.35">
      <c r="A104" s="24" t="s">
        <v>110</v>
      </c>
      <c r="B104" s="5" t="s">
        <v>112</v>
      </c>
      <c r="C104" s="5" t="s">
        <v>111</v>
      </c>
      <c r="D104" s="16" t="s">
        <v>1200</v>
      </c>
      <c r="E104" s="16" t="s">
        <v>1200</v>
      </c>
      <c r="F104" s="16" t="s">
        <v>1452</v>
      </c>
      <c r="G104" s="16" t="s">
        <v>1453</v>
      </c>
      <c r="H104" s="16" t="s">
        <v>1454</v>
      </c>
      <c r="I104" s="16" t="s">
        <v>1455</v>
      </c>
      <c r="J104" s="16" t="s">
        <v>3</v>
      </c>
      <c r="K104" s="5" t="s">
        <v>1</v>
      </c>
      <c r="L104" s="16" t="s">
        <v>1456</v>
      </c>
      <c r="M104" s="16" t="s">
        <v>1457</v>
      </c>
      <c r="N104" s="16" t="s">
        <v>1458</v>
      </c>
      <c r="O104" s="16" t="s">
        <v>1459</v>
      </c>
      <c r="P104" s="16" t="s">
        <v>1122</v>
      </c>
      <c r="Q104" s="16" t="s">
        <v>1486</v>
      </c>
      <c r="R104" s="16" t="s">
        <v>1498</v>
      </c>
    </row>
    <row r="105" spans="1:18" x14ac:dyDescent="0.35">
      <c r="A105" s="27"/>
      <c r="B105" s="41"/>
      <c r="C105" s="41"/>
      <c r="D105" s="50"/>
      <c r="E105" s="50"/>
      <c r="F105" s="50"/>
      <c r="G105" s="50"/>
      <c r="H105" s="50"/>
      <c r="I105" s="50"/>
      <c r="J105" s="50"/>
      <c r="K105" s="41"/>
      <c r="L105" s="50"/>
      <c r="M105" s="50"/>
      <c r="N105" s="50"/>
      <c r="O105" s="50"/>
      <c r="P105" s="50"/>
      <c r="Q105" s="50"/>
      <c r="R105" s="50"/>
    </row>
    <row r="106" spans="1:18" x14ac:dyDescent="0.35">
      <c r="A106" s="26">
        <v>1</v>
      </c>
      <c r="B106" s="8" t="s">
        <v>1487</v>
      </c>
      <c r="C106" s="41" t="str">
        <f>VLOOKUP(B106,'Project Resource Master'!C:N,5,0)</f>
        <v>Stone Mason</v>
      </c>
      <c r="D106" s="50">
        <v>10</v>
      </c>
      <c r="E106" s="50">
        <v>1</v>
      </c>
      <c r="F106" s="50">
        <v>1</v>
      </c>
      <c r="G106" s="50">
        <v>1</v>
      </c>
      <c r="H106" s="50">
        <v>1</v>
      </c>
      <c r="I106" s="50">
        <v>1</v>
      </c>
      <c r="J106" s="50">
        <f>PRODUCT(D106:I106)</f>
        <v>10</v>
      </c>
      <c r="K106" s="41" t="str">
        <f>VLOOKUP(B106,'Project Resource Master'!C:N,6,0)</f>
        <v>hr</v>
      </c>
      <c r="L106" s="50">
        <f>VLOOKUP(B106,'Project Resource Master'!C:N,11,0)</f>
        <v>0.05</v>
      </c>
      <c r="M106" s="50">
        <f>J106*L106</f>
        <v>0.5</v>
      </c>
      <c r="N106" s="50">
        <f>+J106+M106</f>
        <v>10.5</v>
      </c>
      <c r="O106" s="50">
        <f>VLOOKUP(B106,'Project Resource Master'!C:N,12,0)</f>
        <v>80</v>
      </c>
      <c r="P106" s="50">
        <f>+O106*N106</f>
        <v>840</v>
      </c>
      <c r="Q106" s="50">
        <f>+N106*B102</f>
        <v>10.5</v>
      </c>
      <c r="R106" s="50">
        <f>Q106*O106</f>
        <v>840</v>
      </c>
    </row>
    <row r="107" spans="1:18" x14ac:dyDescent="0.35">
      <c r="A107" s="26">
        <v>2</v>
      </c>
      <c r="B107" s="8" t="s">
        <v>1491</v>
      </c>
      <c r="C107" s="41" t="str">
        <f>VLOOKUP(B107,'Project Resource Master'!C:N,5,0)</f>
        <v>Helper</v>
      </c>
      <c r="D107" s="50">
        <v>10</v>
      </c>
      <c r="E107" s="50">
        <v>1</v>
      </c>
      <c r="F107" s="50">
        <v>1</v>
      </c>
      <c r="G107" s="50">
        <v>1</v>
      </c>
      <c r="H107" s="50">
        <v>1</v>
      </c>
      <c r="I107" s="50">
        <v>1</v>
      </c>
      <c r="J107" s="50">
        <f>PRODUCT(D107:I107)</f>
        <v>10</v>
      </c>
      <c r="K107" s="41" t="str">
        <f>VLOOKUP(B107,'Project Resource Master'!C:N,6,0)</f>
        <v>hr</v>
      </c>
      <c r="L107" s="50">
        <f>VLOOKUP(B107,'Project Resource Master'!C:N,11,0)</f>
        <v>0.05</v>
      </c>
      <c r="M107" s="50">
        <f>J107*L107</f>
        <v>0.5</v>
      </c>
      <c r="N107" s="50">
        <f>+J107+M107</f>
        <v>10.5</v>
      </c>
      <c r="O107" s="50">
        <f>VLOOKUP(B107,'Project Resource Master'!C:N,12,0)</f>
        <v>50</v>
      </c>
      <c r="P107" s="50">
        <f>+O107*N107</f>
        <v>525</v>
      </c>
      <c r="Q107" s="50">
        <f>+N107*B102</f>
        <v>10.5</v>
      </c>
      <c r="R107" s="50">
        <f>Q107*O107</f>
        <v>525</v>
      </c>
    </row>
    <row r="108" spans="1:18" x14ac:dyDescent="0.35">
      <c r="A108" s="27"/>
      <c r="B108" s="41"/>
      <c r="C108" s="41"/>
      <c r="D108" s="50"/>
      <c r="E108" s="50"/>
      <c r="F108" s="50"/>
      <c r="G108" s="50"/>
      <c r="H108" s="50"/>
      <c r="I108" s="50"/>
      <c r="J108" s="50"/>
      <c r="K108" s="41"/>
      <c r="L108" s="50"/>
      <c r="M108" s="50"/>
      <c r="N108" s="50"/>
      <c r="O108" s="50"/>
      <c r="P108" s="50"/>
      <c r="Q108" s="50"/>
      <c r="R108" s="50"/>
    </row>
    <row r="109" spans="1:18" s="14" customFormat="1" x14ac:dyDescent="0.35">
      <c r="A109" s="29" t="str">
        <f>B100</f>
        <v>2a</v>
      </c>
      <c r="B109" s="7"/>
      <c r="C109" s="7" t="s">
        <v>1485</v>
      </c>
      <c r="D109" s="51"/>
      <c r="E109" s="51"/>
      <c r="F109" s="51"/>
      <c r="G109" s="51"/>
      <c r="H109" s="51"/>
      <c r="I109" s="51"/>
      <c r="J109" s="51"/>
      <c r="K109" s="7"/>
      <c r="L109" s="51"/>
      <c r="M109" s="51"/>
      <c r="N109" s="51"/>
      <c r="O109" s="51"/>
      <c r="P109" s="51">
        <f>SUM(P105:P108)</f>
        <v>1365</v>
      </c>
      <c r="Q109" s="51"/>
      <c r="R109" s="51">
        <f>SUM(R105:R108)</f>
        <v>1365</v>
      </c>
    </row>
    <row r="112" spans="1:18" x14ac:dyDescent="0.35">
      <c r="A112" s="29" t="s">
        <v>1348</v>
      </c>
      <c r="B112" s="49" t="s">
        <v>1359</v>
      </c>
      <c r="C112" s="41"/>
      <c r="D112" s="50"/>
      <c r="E112" s="50"/>
      <c r="F112" s="50"/>
      <c r="G112" s="50"/>
      <c r="H112" s="50"/>
      <c r="I112" s="50"/>
      <c r="J112" s="50"/>
      <c r="K112" s="41"/>
      <c r="L112" s="50"/>
      <c r="M112" s="50"/>
      <c r="N112" s="50"/>
      <c r="O112" s="50"/>
      <c r="P112" s="50"/>
      <c r="Q112" s="50"/>
      <c r="R112" s="50"/>
    </row>
    <row r="113" spans="1:18" ht="29" x14ac:dyDescent="0.35">
      <c r="A113" s="29" t="s">
        <v>1450</v>
      </c>
      <c r="B113" s="49" t="str">
        <f>VLOOKUP(B112,'Working BOQ'!A:K,9,0)</f>
        <v>Demolition of Gypsum Partition</v>
      </c>
      <c r="C113" s="41"/>
      <c r="D113" s="50"/>
      <c r="E113" s="50"/>
      <c r="F113" s="50"/>
      <c r="G113" s="50"/>
      <c r="H113" s="50"/>
      <c r="I113" s="50"/>
      <c r="J113" s="50"/>
      <c r="K113" s="41"/>
      <c r="L113" s="50"/>
      <c r="M113" s="50"/>
      <c r="N113" s="50"/>
      <c r="O113" s="50"/>
      <c r="P113" s="50"/>
      <c r="Q113" s="50"/>
      <c r="R113" s="50"/>
    </row>
    <row r="114" spans="1:18" x14ac:dyDescent="0.35">
      <c r="A114" s="29" t="s">
        <v>1451</v>
      </c>
      <c r="B114" s="49">
        <f>VLOOKUP(B112,'Working BOQ'!A:N,14,0)</f>
        <v>1</v>
      </c>
      <c r="C114" s="41"/>
      <c r="D114" s="50"/>
      <c r="E114" s="50"/>
      <c r="F114" s="50"/>
      <c r="G114" s="50"/>
      <c r="H114" s="50"/>
      <c r="I114" s="50"/>
      <c r="J114" s="50"/>
      <c r="K114" s="41"/>
      <c r="L114" s="50"/>
      <c r="M114" s="50"/>
      <c r="N114" s="50"/>
      <c r="O114" s="50"/>
      <c r="P114" s="50"/>
      <c r="Q114" s="50"/>
      <c r="R114" s="50"/>
    </row>
    <row r="115" spans="1:18" x14ac:dyDescent="0.35">
      <c r="A115" s="29" t="s">
        <v>1</v>
      </c>
      <c r="B115" s="49" t="str">
        <f>VLOOKUP(B112,'Working BOQ'!A:K,11,0)</f>
        <v>L/s</v>
      </c>
      <c r="C115" s="41"/>
      <c r="D115" s="50"/>
      <c r="E115" s="50"/>
      <c r="F115" s="50"/>
      <c r="G115" s="50"/>
      <c r="H115" s="50"/>
      <c r="I115" s="50"/>
      <c r="J115" s="50"/>
      <c r="K115" s="41"/>
      <c r="L115" s="50"/>
      <c r="M115" s="50"/>
      <c r="N115" s="50"/>
      <c r="O115" s="50"/>
      <c r="P115" s="50"/>
      <c r="Q115" s="50"/>
      <c r="R115" s="50"/>
    </row>
    <row r="116" spans="1:18" s="6" customFormat="1" x14ac:dyDescent="0.35">
      <c r="A116" s="24" t="s">
        <v>110</v>
      </c>
      <c r="B116" s="5" t="s">
        <v>112</v>
      </c>
      <c r="C116" s="5" t="s">
        <v>111</v>
      </c>
      <c r="D116" s="16" t="s">
        <v>1200</v>
      </c>
      <c r="E116" s="16" t="s">
        <v>1200</v>
      </c>
      <c r="F116" s="16" t="s">
        <v>1452</v>
      </c>
      <c r="G116" s="16" t="s">
        <v>1453</v>
      </c>
      <c r="H116" s="16" t="s">
        <v>1454</v>
      </c>
      <c r="I116" s="16" t="s">
        <v>1455</v>
      </c>
      <c r="J116" s="16" t="s">
        <v>3</v>
      </c>
      <c r="K116" s="5" t="s">
        <v>1</v>
      </c>
      <c r="L116" s="16" t="s">
        <v>1456</v>
      </c>
      <c r="M116" s="16" t="s">
        <v>1457</v>
      </c>
      <c r="N116" s="16" t="s">
        <v>1458</v>
      </c>
      <c r="O116" s="16" t="s">
        <v>1459</v>
      </c>
      <c r="P116" s="16" t="s">
        <v>1122</v>
      </c>
      <c r="Q116" s="16" t="s">
        <v>1486</v>
      </c>
      <c r="R116" s="16" t="s">
        <v>1498</v>
      </c>
    </row>
    <row r="117" spans="1:18" x14ac:dyDescent="0.35">
      <c r="A117" s="27"/>
      <c r="B117" s="41"/>
      <c r="C117" s="41"/>
      <c r="D117" s="50"/>
      <c r="E117" s="50"/>
      <c r="F117" s="50"/>
      <c r="G117" s="50"/>
      <c r="H117" s="50"/>
      <c r="I117" s="50"/>
      <c r="J117" s="50"/>
      <c r="K117" s="41"/>
      <c r="L117" s="50"/>
      <c r="M117" s="50"/>
      <c r="N117" s="50"/>
      <c r="O117" s="50"/>
      <c r="P117" s="50"/>
      <c r="Q117" s="50"/>
      <c r="R117" s="50"/>
    </row>
    <row r="118" spans="1:18" x14ac:dyDescent="0.35">
      <c r="A118" s="26">
        <v>1</v>
      </c>
      <c r="B118" s="8" t="s">
        <v>1488</v>
      </c>
      <c r="C118" s="41" t="str">
        <f>VLOOKUP(B118,'Project Resource Master'!C:N,5,0)</f>
        <v>Brick Mason</v>
      </c>
      <c r="D118" s="50">
        <v>10</v>
      </c>
      <c r="E118" s="50">
        <v>1</v>
      </c>
      <c r="F118" s="50">
        <v>1</v>
      </c>
      <c r="G118" s="50">
        <v>1</v>
      </c>
      <c r="H118" s="50">
        <v>1</v>
      </c>
      <c r="I118" s="50">
        <v>1</v>
      </c>
      <c r="J118" s="50">
        <f>PRODUCT(D118:I118)</f>
        <v>10</v>
      </c>
      <c r="K118" s="41" t="str">
        <f>VLOOKUP(B118,'Project Resource Master'!C:N,6,0)</f>
        <v>hr</v>
      </c>
      <c r="L118" s="50">
        <f>VLOOKUP(B118,'Project Resource Master'!C:N,11,0)</f>
        <v>0.1</v>
      </c>
      <c r="M118" s="50">
        <f>J118*L118</f>
        <v>1</v>
      </c>
      <c r="N118" s="50">
        <f>+J118+M118</f>
        <v>11</v>
      </c>
      <c r="O118" s="50">
        <f>VLOOKUP(B118,'Project Resource Master'!C:N,12,0)</f>
        <v>50</v>
      </c>
      <c r="P118" s="50">
        <f>+O118*N118</f>
        <v>550</v>
      </c>
      <c r="Q118" s="50">
        <f>+N118*B114</f>
        <v>11</v>
      </c>
      <c r="R118" s="50">
        <f>Q118*O118</f>
        <v>550</v>
      </c>
    </row>
    <row r="119" spans="1:18" x14ac:dyDescent="0.35">
      <c r="A119" s="26">
        <v>2</v>
      </c>
      <c r="B119" s="8" t="s">
        <v>1491</v>
      </c>
      <c r="C119" s="41" t="str">
        <f>VLOOKUP(B119,'Project Resource Master'!C:N,5,0)</f>
        <v>Helper</v>
      </c>
      <c r="D119" s="50">
        <v>10</v>
      </c>
      <c r="E119" s="50">
        <v>1</v>
      </c>
      <c r="F119" s="50">
        <v>1</v>
      </c>
      <c r="G119" s="50">
        <v>1</v>
      </c>
      <c r="H119" s="50">
        <v>1</v>
      </c>
      <c r="I119" s="50">
        <v>1</v>
      </c>
      <c r="J119" s="50">
        <f>PRODUCT(D119:I119)</f>
        <v>10</v>
      </c>
      <c r="K119" s="41" t="str">
        <f>VLOOKUP(B119,'Project Resource Master'!C:N,6,0)</f>
        <v>hr</v>
      </c>
      <c r="L119" s="50">
        <f>VLOOKUP(B119,'Project Resource Master'!C:N,11,0)</f>
        <v>0.05</v>
      </c>
      <c r="M119" s="50">
        <f>J119*L119</f>
        <v>0.5</v>
      </c>
      <c r="N119" s="50">
        <f>+J119+M119</f>
        <v>10.5</v>
      </c>
      <c r="O119" s="50">
        <f>VLOOKUP(B119,'Project Resource Master'!C:N,12,0)</f>
        <v>50</v>
      </c>
      <c r="P119" s="50">
        <f>+O119*N119</f>
        <v>525</v>
      </c>
      <c r="Q119" s="50">
        <f>+N119*B114</f>
        <v>10.5</v>
      </c>
      <c r="R119" s="50">
        <f>Q119*O119</f>
        <v>525</v>
      </c>
    </row>
    <row r="120" spans="1:18" x14ac:dyDescent="0.35">
      <c r="A120" s="27"/>
      <c r="B120" s="41"/>
      <c r="C120" s="41"/>
      <c r="D120" s="50"/>
      <c r="E120" s="50"/>
      <c r="F120" s="50"/>
      <c r="G120" s="50"/>
      <c r="H120" s="50"/>
      <c r="I120" s="50"/>
      <c r="J120" s="50"/>
      <c r="K120" s="41"/>
      <c r="L120" s="50"/>
      <c r="M120" s="50"/>
      <c r="N120" s="50"/>
      <c r="O120" s="50"/>
      <c r="P120" s="50"/>
      <c r="Q120" s="50"/>
      <c r="R120" s="50"/>
    </row>
    <row r="121" spans="1:18" s="14" customFormat="1" x14ac:dyDescent="0.35">
      <c r="A121" s="29" t="str">
        <f>B112</f>
        <v>2b</v>
      </c>
      <c r="B121" s="7"/>
      <c r="C121" s="7" t="s">
        <v>1485</v>
      </c>
      <c r="D121" s="51"/>
      <c r="E121" s="51"/>
      <c r="F121" s="51"/>
      <c r="G121" s="51"/>
      <c r="H121" s="51"/>
      <c r="I121" s="51"/>
      <c r="J121" s="51"/>
      <c r="K121" s="7"/>
      <c r="L121" s="51"/>
      <c r="M121" s="51"/>
      <c r="N121" s="51"/>
      <c r="O121" s="51"/>
      <c r="P121" s="51">
        <f>SUM(P117:P120)</f>
        <v>1075</v>
      </c>
      <c r="Q121" s="51"/>
      <c r="R121" s="51">
        <f>SUM(R117:R120)</f>
        <v>1075</v>
      </c>
    </row>
    <row r="124" spans="1:18" x14ac:dyDescent="0.35">
      <c r="A124" s="29" t="s">
        <v>1348</v>
      </c>
      <c r="B124" s="49" t="s">
        <v>1360</v>
      </c>
      <c r="C124" s="41"/>
      <c r="D124" s="50"/>
      <c r="E124" s="50"/>
      <c r="F124" s="50"/>
      <c r="G124" s="50"/>
      <c r="H124" s="50"/>
      <c r="I124" s="50"/>
      <c r="J124" s="50"/>
      <c r="K124" s="41"/>
      <c r="L124" s="50"/>
      <c r="M124" s="50"/>
      <c r="N124" s="50"/>
      <c r="O124" s="50"/>
      <c r="P124" s="50"/>
      <c r="Q124" s="50"/>
      <c r="R124" s="50"/>
    </row>
    <row r="125" spans="1:18" ht="29" x14ac:dyDescent="0.35">
      <c r="A125" s="29" t="s">
        <v>1450</v>
      </c>
      <c r="B125" s="49" t="str">
        <f>VLOOKUP(B124,'Working BOQ'!A:K,9,0)</f>
        <v>Stripping out HVAC Systems</v>
      </c>
      <c r="C125" s="41"/>
      <c r="D125" s="50"/>
      <c r="E125" s="50"/>
      <c r="F125" s="50"/>
      <c r="G125" s="50"/>
      <c r="H125" s="50"/>
      <c r="I125" s="50"/>
      <c r="J125" s="50"/>
      <c r="K125" s="41"/>
      <c r="L125" s="50"/>
      <c r="M125" s="50"/>
      <c r="N125" s="50"/>
      <c r="O125" s="50"/>
      <c r="P125" s="50"/>
      <c r="Q125" s="50"/>
      <c r="R125" s="50"/>
    </row>
    <row r="126" spans="1:18" x14ac:dyDescent="0.35">
      <c r="A126" s="29" t="s">
        <v>1451</v>
      </c>
      <c r="B126" s="49">
        <f>VLOOKUP(B124,'Working BOQ'!A:N,14,0)</f>
        <v>1</v>
      </c>
      <c r="C126" s="41"/>
      <c r="D126" s="50"/>
      <c r="E126" s="50"/>
      <c r="F126" s="50"/>
      <c r="G126" s="50"/>
      <c r="H126" s="50"/>
      <c r="I126" s="50"/>
      <c r="J126" s="50"/>
      <c r="K126" s="41"/>
      <c r="L126" s="50"/>
      <c r="M126" s="50"/>
      <c r="N126" s="50"/>
      <c r="O126" s="50"/>
      <c r="P126" s="50"/>
      <c r="Q126" s="50"/>
      <c r="R126" s="50"/>
    </row>
    <row r="127" spans="1:18" x14ac:dyDescent="0.35">
      <c r="A127" s="29" t="s">
        <v>1</v>
      </c>
      <c r="B127" s="49" t="str">
        <f>VLOOKUP(B124,'Working BOQ'!A:K,11,0)</f>
        <v>L/s</v>
      </c>
      <c r="C127" s="41"/>
      <c r="D127" s="50"/>
      <c r="E127" s="50"/>
      <c r="F127" s="50"/>
      <c r="G127" s="50"/>
      <c r="H127" s="50"/>
      <c r="I127" s="50"/>
      <c r="J127" s="50"/>
      <c r="K127" s="41"/>
      <c r="L127" s="50"/>
      <c r="M127" s="50"/>
      <c r="N127" s="50"/>
      <c r="O127" s="50"/>
      <c r="P127" s="50"/>
      <c r="Q127" s="50"/>
      <c r="R127" s="50"/>
    </row>
    <row r="128" spans="1:18" s="6" customFormat="1" x14ac:dyDescent="0.35">
      <c r="A128" s="24" t="s">
        <v>110</v>
      </c>
      <c r="B128" s="5" t="s">
        <v>112</v>
      </c>
      <c r="C128" s="5" t="s">
        <v>111</v>
      </c>
      <c r="D128" s="16" t="s">
        <v>1200</v>
      </c>
      <c r="E128" s="16" t="s">
        <v>1200</v>
      </c>
      <c r="F128" s="16" t="s">
        <v>1452</v>
      </c>
      <c r="G128" s="16" t="s">
        <v>1453</v>
      </c>
      <c r="H128" s="16" t="s">
        <v>1454</v>
      </c>
      <c r="I128" s="16" t="s">
        <v>1455</v>
      </c>
      <c r="J128" s="16" t="s">
        <v>3</v>
      </c>
      <c r="K128" s="5" t="s">
        <v>1</v>
      </c>
      <c r="L128" s="16" t="s">
        <v>1456</v>
      </c>
      <c r="M128" s="16" t="s">
        <v>1457</v>
      </c>
      <c r="N128" s="16" t="s">
        <v>1458</v>
      </c>
      <c r="O128" s="16" t="s">
        <v>1459</v>
      </c>
      <c r="P128" s="16" t="s">
        <v>1122</v>
      </c>
      <c r="Q128" s="16" t="s">
        <v>1486</v>
      </c>
      <c r="R128" s="16" t="s">
        <v>1498</v>
      </c>
    </row>
    <row r="129" spans="1:18" x14ac:dyDescent="0.35">
      <c r="A129" s="27"/>
      <c r="B129" s="41"/>
      <c r="C129" s="41"/>
      <c r="D129" s="50"/>
      <c r="E129" s="50"/>
      <c r="F129" s="50"/>
      <c r="G129" s="50"/>
      <c r="H129" s="50"/>
      <c r="I129" s="50"/>
      <c r="J129" s="50"/>
      <c r="K129" s="41"/>
      <c r="L129" s="50"/>
      <c r="M129" s="50"/>
      <c r="N129" s="50"/>
      <c r="O129" s="50"/>
      <c r="P129" s="50"/>
      <c r="Q129" s="50"/>
      <c r="R129" s="50"/>
    </row>
    <row r="130" spans="1:18" x14ac:dyDescent="0.35">
      <c r="A130" s="26">
        <v>1</v>
      </c>
      <c r="B130" s="8" t="s">
        <v>1494</v>
      </c>
      <c r="C130" s="41" t="str">
        <f>VLOOKUP(B130,'Project Resource Master'!C:N,5,0)</f>
        <v>HVAC Technician</v>
      </c>
      <c r="D130" s="50">
        <v>10</v>
      </c>
      <c r="E130" s="50">
        <v>1</v>
      </c>
      <c r="F130" s="50">
        <v>1</v>
      </c>
      <c r="G130" s="50">
        <v>1</v>
      </c>
      <c r="H130" s="50">
        <v>1</v>
      </c>
      <c r="I130" s="50">
        <v>1</v>
      </c>
      <c r="J130" s="50">
        <f>PRODUCT(D130:I130)</f>
        <v>10</v>
      </c>
      <c r="K130" s="41" t="str">
        <f>VLOOKUP(B130,'Project Resource Master'!C:N,6,0)</f>
        <v>hr</v>
      </c>
      <c r="L130" s="50">
        <f>VLOOKUP(B130,'Project Resource Master'!C:N,11,0)</f>
        <v>0.1</v>
      </c>
      <c r="M130" s="50">
        <f>J130*L130</f>
        <v>1</v>
      </c>
      <c r="N130" s="50">
        <f>+J130+M130</f>
        <v>11</v>
      </c>
      <c r="O130" s="50">
        <f>VLOOKUP(B130,'Project Resource Master'!C:N,12,0)</f>
        <v>50</v>
      </c>
      <c r="P130" s="50">
        <f>+O130*N130</f>
        <v>550</v>
      </c>
      <c r="Q130" s="50">
        <f>+N130*B126</f>
        <v>11</v>
      </c>
      <c r="R130" s="50">
        <f>Q130*O130</f>
        <v>550</v>
      </c>
    </row>
    <row r="131" spans="1:18" x14ac:dyDescent="0.35">
      <c r="A131" s="26">
        <v>2</v>
      </c>
      <c r="B131" s="8" t="s">
        <v>1492</v>
      </c>
      <c r="C131" s="41" t="str">
        <f>VLOOKUP(B131,'Project Resource Master'!C:N,5,0)</f>
        <v>Helper</v>
      </c>
      <c r="D131" s="50">
        <v>10</v>
      </c>
      <c r="E131" s="50">
        <v>1</v>
      </c>
      <c r="F131" s="50">
        <v>1</v>
      </c>
      <c r="G131" s="50">
        <v>1</v>
      </c>
      <c r="H131" s="50">
        <v>1</v>
      </c>
      <c r="I131" s="50">
        <v>1</v>
      </c>
      <c r="J131" s="50">
        <f>PRODUCT(D131:I131)</f>
        <v>10</v>
      </c>
      <c r="K131" s="41" t="str">
        <f>VLOOKUP(B131,'Project Resource Master'!C:N,6,0)</f>
        <v>hr</v>
      </c>
      <c r="L131" s="50">
        <f>VLOOKUP(B131,'Project Resource Master'!C:N,11,0)</f>
        <v>0.1</v>
      </c>
      <c r="M131" s="50">
        <f>J131*L131</f>
        <v>1</v>
      </c>
      <c r="N131" s="50">
        <f>+J131+M131</f>
        <v>11</v>
      </c>
      <c r="O131" s="50">
        <f>VLOOKUP(B131,'Project Resource Master'!C:N,12,0)</f>
        <v>50</v>
      </c>
      <c r="P131" s="50">
        <f>+O131*N131</f>
        <v>550</v>
      </c>
      <c r="Q131" s="50">
        <f>+N131*B126</f>
        <v>11</v>
      </c>
      <c r="R131" s="50">
        <f>Q131*O131</f>
        <v>550</v>
      </c>
    </row>
    <row r="132" spans="1:18" x14ac:dyDescent="0.35">
      <c r="A132" s="27"/>
      <c r="B132" s="41"/>
      <c r="C132" s="41"/>
      <c r="D132" s="50"/>
      <c r="E132" s="50"/>
      <c r="F132" s="50"/>
      <c r="G132" s="50"/>
      <c r="H132" s="50"/>
      <c r="I132" s="50"/>
      <c r="J132" s="50"/>
      <c r="K132" s="41"/>
      <c r="L132" s="50"/>
      <c r="M132" s="50"/>
      <c r="N132" s="50"/>
      <c r="O132" s="50"/>
      <c r="P132" s="50"/>
      <c r="Q132" s="50"/>
      <c r="R132" s="50"/>
    </row>
    <row r="133" spans="1:18" s="14" customFormat="1" x14ac:dyDescent="0.35">
      <c r="A133" s="29" t="str">
        <f>B124</f>
        <v>2c</v>
      </c>
      <c r="B133" s="7"/>
      <c r="C133" s="7" t="s">
        <v>1485</v>
      </c>
      <c r="D133" s="51"/>
      <c r="E133" s="51"/>
      <c r="F133" s="51"/>
      <c r="G133" s="51"/>
      <c r="H133" s="51"/>
      <c r="I133" s="51"/>
      <c r="J133" s="51"/>
      <c r="K133" s="7"/>
      <c r="L133" s="51"/>
      <c r="M133" s="51"/>
      <c r="N133" s="51"/>
      <c r="O133" s="51"/>
      <c r="P133" s="51">
        <f>SUM(P129:P132)</f>
        <v>1100</v>
      </c>
      <c r="Q133" s="51"/>
      <c r="R133" s="51">
        <f>SUM(R129:R132)</f>
        <v>1100</v>
      </c>
    </row>
    <row r="136" spans="1:18" x14ac:dyDescent="0.35">
      <c r="A136" s="29" t="s">
        <v>1348</v>
      </c>
      <c r="B136" s="49" t="s">
        <v>1361</v>
      </c>
      <c r="C136" s="41"/>
      <c r="D136" s="50"/>
      <c r="E136" s="50"/>
      <c r="F136" s="50"/>
      <c r="G136" s="50"/>
      <c r="H136" s="50"/>
      <c r="I136" s="50"/>
      <c r="J136" s="50"/>
      <c r="K136" s="41"/>
      <c r="L136" s="50"/>
      <c r="M136" s="50"/>
      <c r="N136" s="50"/>
      <c r="O136" s="50"/>
      <c r="P136" s="50"/>
      <c r="Q136" s="50"/>
      <c r="R136" s="50"/>
    </row>
    <row r="137" spans="1:18" ht="29" x14ac:dyDescent="0.35">
      <c r="A137" s="29" t="s">
        <v>1450</v>
      </c>
      <c r="B137" s="49" t="str">
        <f>VLOOKUP(B136,'Working BOQ'!A:K,9,0)</f>
        <v>Removal of Fire Sprinklers</v>
      </c>
      <c r="C137" s="41"/>
      <c r="D137" s="50"/>
      <c r="E137" s="50"/>
      <c r="F137" s="50"/>
      <c r="G137" s="50"/>
      <c r="H137" s="50"/>
      <c r="I137" s="50"/>
      <c r="J137" s="50"/>
      <c r="K137" s="41"/>
      <c r="L137" s="50"/>
      <c r="M137" s="50"/>
      <c r="N137" s="50"/>
      <c r="O137" s="50"/>
      <c r="P137" s="50"/>
      <c r="Q137" s="50"/>
      <c r="R137" s="50"/>
    </row>
    <row r="138" spans="1:18" x14ac:dyDescent="0.35">
      <c r="A138" s="29" t="s">
        <v>1451</v>
      </c>
      <c r="B138" s="49">
        <f>VLOOKUP(B136,'Working BOQ'!A:N,14,0)</f>
        <v>1</v>
      </c>
      <c r="C138" s="41"/>
      <c r="D138" s="50"/>
      <c r="E138" s="50"/>
      <c r="F138" s="50"/>
      <c r="G138" s="50"/>
      <c r="H138" s="50"/>
      <c r="I138" s="50"/>
      <c r="J138" s="50"/>
      <c r="K138" s="41"/>
      <c r="L138" s="50"/>
      <c r="M138" s="50"/>
      <c r="N138" s="50"/>
      <c r="O138" s="50"/>
      <c r="P138" s="50"/>
      <c r="Q138" s="50"/>
      <c r="R138" s="50"/>
    </row>
    <row r="139" spans="1:18" x14ac:dyDescent="0.35">
      <c r="A139" s="29" t="s">
        <v>1</v>
      </c>
      <c r="B139" s="49" t="str">
        <f>VLOOKUP(B136,'Working BOQ'!A:K,11,0)</f>
        <v>L/s</v>
      </c>
      <c r="C139" s="41"/>
      <c r="D139" s="50"/>
      <c r="E139" s="50"/>
      <c r="F139" s="50"/>
      <c r="G139" s="50"/>
      <c r="H139" s="50"/>
      <c r="I139" s="50"/>
      <c r="J139" s="50"/>
      <c r="K139" s="41"/>
      <c r="L139" s="50"/>
      <c r="M139" s="50"/>
      <c r="N139" s="50"/>
      <c r="O139" s="50"/>
      <c r="P139" s="50"/>
      <c r="Q139" s="50"/>
      <c r="R139" s="50"/>
    </row>
    <row r="140" spans="1:18" s="6" customFormat="1" x14ac:dyDescent="0.35">
      <c r="A140" s="24" t="s">
        <v>110</v>
      </c>
      <c r="B140" s="5" t="s">
        <v>112</v>
      </c>
      <c r="C140" s="5" t="s">
        <v>111</v>
      </c>
      <c r="D140" s="16" t="s">
        <v>1200</v>
      </c>
      <c r="E140" s="16" t="s">
        <v>1200</v>
      </c>
      <c r="F140" s="16" t="s">
        <v>1452</v>
      </c>
      <c r="G140" s="16" t="s">
        <v>1453</v>
      </c>
      <c r="H140" s="16" t="s">
        <v>1454</v>
      </c>
      <c r="I140" s="16" t="s">
        <v>1455</v>
      </c>
      <c r="J140" s="16" t="s">
        <v>3</v>
      </c>
      <c r="K140" s="5" t="s">
        <v>1</v>
      </c>
      <c r="L140" s="16" t="s">
        <v>1456</v>
      </c>
      <c r="M140" s="16" t="s">
        <v>1457</v>
      </c>
      <c r="N140" s="16" t="s">
        <v>1458</v>
      </c>
      <c r="O140" s="16" t="s">
        <v>1459</v>
      </c>
      <c r="P140" s="16" t="s">
        <v>1122</v>
      </c>
      <c r="Q140" s="16" t="s">
        <v>1486</v>
      </c>
      <c r="R140" s="16" t="s">
        <v>1498</v>
      </c>
    </row>
    <row r="141" spans="1:18" x14ac:dyDescent="0.35">
      <c r="A141" s="27"/>
      <c r="B141" s="41"/>
      <c r="C141" s="41"/>
      <c r="D141" s="50"/>
      <c r="E141" s="50"/>
      <c r="F141" s="50"/>
      <c r="G141" s="50"/>
      <c r="H141" s="50"/>
      <c r="I141" s="50"/>
      <c r="J141" s="50"/>
      <c r="K141" s="41"/>
      <c r="L141" s="50"/>
      <c r="M141" s="50"/>
      <c r="N141" s="50"/>
      <c r="O141" s="50"/>
      <c r="P141" s="50"/>
      <c r="Q141" s="50"/>
      <c r="R141" s="50"/>
    </row>
    <row r="142" spans="1:18" x14ac:dyDescent="0.35">
      <c r="A142" s="26">
        <v>1</v>
      </c>
      <c r="B142" s="8" t="s">
        <v>1493</v>
      </c>
      <c r="C142" s="41" t="str">
        <f>VLOOKUP(B142,'Project Resource Master'!C:N,5,0)</f>
        <v>Mechanic</v>
      </c>
      <c r="D142" s="50">
        <v>10</v>
      </c>
      <c r="E142" s="50">
        <v>1</v>
      </c>
      <c r="F142" s="50">
        <v>1</v>
      </c>
      <c r="G142" s="50">
        <v>1</v>
      </c>
      <c r="H142" s="50">
        <v>1</v>
      </c>
      <c r="I142" s="50">
        <v>1</v>
      </c>
      <c r="J142" s="50">
        <f>PRODUCT(D142:I142)</f>
        <v>10</v>
      </c>
      <c r="K142" s="41" t="str">
        <f>VLOOKUP(B142,'Project Resource Master'!C:N,6,0)</f>
        <v>hr</v>
      </c>
      <c r="L142" s="50">
        <f>VLOOKUP(B142,'Project Resource Master'!C:N,11,0)</f>
        <v>0.05</v>
      </c>
      <c r="M142" s="50">
        <f>J142*L142</f>
        <v>0.5</v>
      </c>
      <c r="N142" s="50">
        <f>+J142+M142</f>
        <v>10.5</v>
      </c>
      <c r="O142" s="50">
        <f>VLOOKUP(B142,'Project Resource Master'!C:N,12,0)</f>
        <v>80</v>
      </c>
      <c r="P142" s="50">
        <f>+O142*N142</f>
        <v>840</v>
      </c>
      <c r="Q142" s="50">
        <f>+N142*B138</f>
        <v>10.5</v>
      </c>
      <c r="R142" s="50">
        <f>Q142*O142</f>
        <v>840</v>
      </c>
    </row>
    <row r="143" spans="1:18" x14ac:dyDescent="0.35">
      <c r="A143" s="26">
        <v>2</v>
      </c>
      <c r="B143" s="8" t="s">
        <v>1492</v>
      </c>
      <c r="C143" s="41" t="str">
        <f>VLOOKUP(B143,'Project Resource Master'!C:N,5,0)</f>
        <v>Helper</v>
      </c>
      <c r="D143" s="50">
        <v>10</v>
      </c>
      <c r="E143" s="50">
        <v>1</v>
      </c>
      <c r="F143" s="50">
        <v>1</v>
      </c>
      <c r="G143" s="50">
        <v>1</v>
      </c>
      <c r="H143" s="50">
        <v>1</v>
      </c>
      <c r="I143" s="50">
        <v>1</v>
      </c>
      <c r="J143" s="50">
        <f>PRODUCT(D143:I143)</f>
        <v>10</v>
      </c>
      <c r="K143" s="41" t="str">
        <f>VLOOKUP(B143,'Project Resource Master'!C:N,6,0)</f>
        <v>hr</v>
      </c>
      <c r="L143" s="50">
        <f>VLOOKUP(B143,'Project Resource Master'!C:N,11,0)</f>
        <v>0.1</v>
      </c>
      <c r="M143" s="50">
        <f>J143*L143</f>
        <v>1</v>
      </c>
      <c r="N143" s="50">
        <f>+J143+M143</f>
        <v>11</v>
      </c>
      <c r="O143" s="50">
        <f>VLOOKUP(B143,'Project Resource Master'!C:N,12,0)</f>
        <v>50</v>
      </c>
      <c r="P143" s="50">
        <f>+O143*N143</f>
        <v>550</v>
      </c>
      <c r="Q143" s="50">
        <f>+N143*B138</f>
        <v>11</v>
      </c>
      <c r="R143" s="50">
        <f>Q143*O143</f>
        <v>550</v>
      </c>
    </row>
    <row r="144" spans="1:18" x14ac:dyDescent="0.35">
      <c r="A144" s="27"/>
      <c r="B144" s="41"/>
      <c r="C144" s="41"/>
      <c r="D144" s="50"/>
      <c r="E144" s="50"/>
      <c r="F144" s="50"/>
      <c r="G144" s="50"/>
      <c r="H144" s="50"/>
      <c r="I144" s="50"/>
      <c r="J144" s="50"/>
      <c r="K144" s="41"/>
      <c r="L144" s="50"/>
      <c r="M144" s="50"/>
      <c r="N144" s="50"/>
      <c r="O144" s="50"/>
      <c r="P144" s="50"/>
      <c r="Q144" s="50"/>
      <c r="R144" s="50"/>
    </row>
    <row r="145" spans="1:18" s="14" customFormat="1" x14ac:dyDescent="0.35">
      <c r="A145" s="29" t="str">
        <f>B136</f>
        <v>2d</v>
      </c>
      <c r="B145" s="7"/>
      <c r="C145" s="7" t="s">
        <v>1485</v>
      </c>
      <c r="D145" s="51"/>
      <c r="E145" s="51"/>
      <c r="F145" s="51"/>
      <c r="G145" s="51"/>
      <c r="H145" s="51"/>
      <c r="I145" s="51"/>
      <c r="J145" s="51"/>
      <c r="K145" s="7"/>
      <c r="L145" s="51"/>
      <c r="M145" s="51"/>
      <c r="N145" s="51"/>
      <c r="O145" s="51"/>
      <c r="P145" s="51">
        <f>SUM(P141:P144)</f>
        <v>1390</v>
      </c>
      <c r="Q145" s="51"/>
      <c r="R145" s="51">
        <f>SUM(R141:R144)</f>
        <v>1390</v>
      </c>
    </row>
    <row r="148" spans="1:18" x14ac:dyDescent="0.35">
      <c r="A148" s="29" t="s">
        <v>1348</v>
      </c>
      <c r="B148" s="49" t="s">
        <v>1362</v>
      </c>
      <c r="C148" s="41"/>
      <c r="D148" s="50"/>
      <c r="E148" s="50"/>
      <c r="F148" s="50"/>
      <c r="G148" s="50"/>
      <c r="H148" s="50"/>
      <c r="I148" s="50"/>
      <c r="J148" s="50"/>
      <c r="K148" s="41"/>
      <c r="L148" s="50"/>
      <c r="M148" s="50"/>
      <c r="N148" s="50"/>
      <c r="O148" s="50"/>
      <c r="P148" s="50"/>
      <c r="Q148" s="50"/>
      <c r="R148" s="50"/>
    </row>
    <row r="149" spans="1:18" ht="29" x14ac:dyDescent="0.35">
      <c r="A149" s="29" t="s">
        <v>1450</v>
      </c>
      <c r="B149" s="49" t="str">
        <f>VLOOKUP(B148,'Working BOQ'!A:K,9,0)</f>
        <v>Removal of Smoke &amp; Fire Detectors</v>
      </c>
      <c r="C149" s="41"/>
      <c r="D149" s="50"/>
      <c r="E149" s="50"/>
      <c r="F149" s="50"/>
      <c r="G149" s="50"/>
      <c r="H149" s="50"/>
      <c r="I149" s="50"/>
      <c r="J149" s="50"/>
      <c r="K149" s="41"/>
      <c r="L149" s="50"/>
      <c r="M149" s="50"/>
      <c r="N149" s="50"/>
      <c r="O149" s="50"/>
      <c r="P149" s="50"/>
      <c r="Q149" s="50"/>
      <c r="R149" s="50"/>
    </row>
    <row r="150" spans="1:18" x14ac:dyDescent="0.35">
      <c r="A150" s="29" t="s">
        <v>1451</v>
      </c>
      <c r="B150" s="49">
        <f>VLOOKUP(B148,'Working BOQ'!A:N,14,0)</f>
        <v>1</v>
      </c>
      <c r="C150" s="41"/>
      <c r="D150" s="50"/>
      <c r="E150" s="50"/>
      <c r="F150" s="50"/>
      <c r="G150" s="50"/>
      <c r="H150" s="50"/>
      <c r="I150" s="50"/>
      <c r="J150" s="50"/>
      <c r="K150" s="41"/>
      <c r="L150" s="50"/>
      <c r="M150" s="50"/>
      <c r="N150" s="50"/>
      <c r="O150" s="50"/>
      <c r="P150" s="50"/>
      <c r="Q150" s="50"/>
      <c r="R150" s="50"/>
    </row>
    <row r="151" spans="1:18" x14ac:dyDescent="0.35">
      <c r="A151" s="29" t="s">
        <v>1</v>
      </c>
      <c r="B151" s="49" t="str">
        <f>VLOOKUP(B148,'Working BOQ'!A:K,11,0)</f>
        <v>L/s</v>
      </c>
      <c r="C151" s="41"/>
      <c r="D151" s="50"/>
      <c r="E151" s="50"/>
      <c r="F151" s="50"/>
      <c r="G151" s="50"/>
      <c r="H151" s="50"/>
      <c r="I151" s="50"/>
      <c r="J151" s="50"/>
      <c r="K151" s="41"/>
      <c r="L151" s="50"/>
      <c r="M151" s="50"/>
      <c r="N151" s="50"/>
      <c r="O151" s="50"/>
      <c r="P151" s="50"/>
      <c r="Q151" s="50"/>
      <c r="R151" s="50"/>
    </row>
    <row r="152" spans="1:18" s="6" customFormat="1" x14ac:dyDescent="0.35">
      <c r="A152" s="24" t="s">
        <v>110</v>
      </c>
      <c r="B152" s="5" t="s">
        <v>112</v>
      </c>
      <c r="C152" s="5" t="s">
        <v>111</v>
      </c>
      <c r="D152" s="16" t="s">
        <v>1200</v>
      </c>
      <c r="E152" s="16" t="s">
        <v>1200</v>
      </c>
      <c r="F152" s="16" t="s">
        <v>1452</v>
      </c>
      <c r="G152" s="16" t="s">
        <v>1453</v>
      </c>
      <c r="H152" s="16" t="s">
        <v>1454</v>
      </c>
      <c r="I152" s="16" t="s">
        <v>1455</v>
      </c>
      <c r="J152" s="16" t="s">
        <v>3</v>
      </c>
      <c r="K152" s="5" t="s">
        <v>1</v>
      </c>
      <c r="L152" s="16" t="s">
        <v>1456</v>
      </c>
      <c r="M152" s="16" t="s">
        <v>1457</v>
      </c>
      <c r="N152" s="16" t="s">
        <v>1458</v>
      </c>
      <c r="O152" s="16" t="s">
        <v>1459</v>
      </c>
      <c r="P152" s="16" t="s">
        <v>1122</v>
      </c>
      <c r="Q152" s="16" t="s">
        <v>1486</v>
      </c>
      <c r="R152" s="16" t="s">
        <v>1498</v>
      </c>
    </row>
    <row r="153" spans="1:18" x14ac:dyDescent="0.35">
      <c r="A153" s="27"/>
      <c r="B153" s="41"/>
      <c r="C153" s="41"/>
      <c r="D153" s="50"/>
      <c r="E153" s="50"/>
      <c r="F153" s="50"/>
      <c r="G153" s="50"/>
      <c r="H153" s="50"/>
      <c r="I153" s="50"/>
      <c r="J153" s="50"/>
      <c r="K153" s="41"/>
      <c r="L153" s="50"/>
      <c r="M153" s="50"/>
      <c r="N153" s="50"/>
      <c r="O153" s="50"/>
      <c r="P153" s="50"/>
      <c r="Q153" s="50"/>
      <c r="R153" s="50"/>
    </row>
    <row r="154" spans="1:18" x14ac:dyDescent="0.35">
      <c r="A154" s="26">
        <v>1</v>
      </c>
      <c r="B154" s="8" t="s">
        <v>1493</v>
      </c>
      <c r="C154" s="41" t="str">
        <f>VLOOKUP(B154,'Project Resource Master'!C:N,5,0)</f>
        <v>Mechanic</v>
      </c>
      <c r="D154" s="50">
        <v>10</v>
      </c>
      <c r="E154" s="50">
        <v>1</v>
      </c>
      <c r="F154" s="50">
        <v>1</v>
      </c>
      <c r="G154" s="50">
        <v>1</v>
      </c>
      <c r="H154" s="50">
        <v>1</v>
      </c>
      <c r="I154" s="50">
        <v>1</v>
      </c>
      <c r="J154" s="50">
        <f>PRODUCT(D154:I154)</f>
        <v>10</v>
      </c>
      <c r="K154" s="41" t="str">
        <f>VLOOKUP(B154,'Project Resource Master'!C:N,6,0)</f>
        <v>hr</v>
      </c>
      <c r="L154" s="50">
        <f>VLOOKUP(B154,'Project Resource Master'!C:N,11,0)</f>
        <v>0.05</v>
      </c>
      <c r="M154" s="50">
        <f>J154*L154</f>
        <v>0.5</v>
      </c>
      <c r="N154" s="50">
        <f>+J154+M154</f>
        <v>10.5</v>
      </c>
      <c r="O154" s="50">
        <f>VLOOKUP(B154,'Project Resource Master'!C:N,12,0)</f>
        <v>80</v>
      </c>
      <c r="P154" s="50">
        <f>+O154*N154</f>
        <v>840</v>
      </c>
      <c r="Q154" s="50">
        <f>+N154*B150</f>
        <v>10.5</v>
      </c>
      <c r="R154" s="50">
        <f>Q154*O154</f>
        <v>840</v>
      </c>
    </row>
    <row r="155" spans="1:18" x14ac:dyDescent="0.35">
      <c r="A155" s="26">
        <v>2</v>
      </c>
      <c r="B155" s="8" t="s">
        <v>1492</v>
      </c>
      <c r="C155" s="41" t="str">
        <f>VLOOKUP(B155,'Project Resource Master'!C:N,5,0)</f>
        <v>Helper</v>
      </c>
      <c r="D155" s="50">
        <v>10</v>
      </c>
      <c r="E155" s="50">
        <v>1</v>
      </c>
      <c r="F155" s="50">
        <v>1</v>
      </c>
      <c r="G155" s="50">
        <v>1</v>
      </c>
      <c r="H155" s="50">
        <v>1</v>
      </c>
      <c r="I155" s="50">
        <v>1</v>
      </c>
      <c r="J155" s="50">
        <f>PRODUCT(D155:I155)</f>
        <v>10</v>
      </c>
      <c r="K155" s="41" t="str">
        <f>VLOOKUP(B155,'Project Resource Master'!C:N,6,0)</f>
        <v>hr</v>
      </c>
      <c r="L155" s="50">
        <f>VLOOKUP(B155,'Project Resource Master'!C:N,11,0)</f>
        <v>0.1</v>
      </c>
      <c r="M155" s="50">
        <f>J155*L155</f>
        <v>1</v>
      </c>
      <c r="N155" s="50">
        <f>+J155+M155</f>
        <v>11</v>
      </c>
      <c r="O155" s="50">
        <f>VLOOKUP(B155,'Project Resource Master'!C:N,12,0)</f>
        <v>50</v>
      </c>
      <c r="P155" s="50">
        <f>+O155*N155</f>
        <v>550</v>
      </c>
      <c r="Q155" s="50">
        <f>+N155*B150</f>
        <v>11</v>
      </c>
      <c r="R155" s="50">
        <f>Q155*O155</f>
        <v>550</v>
      </c>
    </row>
    <row r="156" spans="1:18" x14ac:dyDescent="0.35">
      <c r="A156" s="27"/>
      <c r="B156" s="41"/>
      <c r="C156" s="41"/>
      <c r="D156" s="50"/>
      <c r="E156" s="50"/>
      <c r="F156" s="50"/>
      <c r="G156" s="50"/>
      <c r="H156" s="50"/>
      <c r="I156" s="50"/>
      <c r="J156" s="50"/>
      <c r="K156" s="41"/>
      <c r="L156" s="50"/>
      <c r="M156" s="50"/>
      <c r="N156" s="50"/>
      <c r="O156" s="50"/>
      <c r="P156" s="50"/>
      <c r="Q156" s="50"/>
      <c r="R156" s="50"/>
    </row>
    <row r="157" spans="1:18" s="14" customFormat="1" x14ac:dyDescent="0.35">
      <c r="A157" s="29" t="str">
        <f>B148</f>
        <v>2e</v>
      </c>
      <c r="B157" s="7"/>
      <c r="C157" s="7" t="s">
        <v>1485</v>
      </c>
      <c r="D157" s="51"/>
      <c r="E157" s="51"/>
      <c r="F157" s="51"/>
      <c r="G157" s="51"/>
      <c r="H157" s="51"/>
      <c r="I157" s="51"/>
      <c r="J157" s="51"/>
      <c r="K157" s="7"/>
      <c r="L157" s="51"/>
      <c r="M157" s="51"/>
      <c r="N157" s="51"/>
      <c r="O157" s="51"/>
      <c r="P157" s="51">
        <f>SUM(P153:P156)</f>
        <v>1390</v>
      </c>
      <c r="Q157" s="51"/>
      <c r="R157" s="51">
        <f>SUM(R153:R156)</f>
        <v>1390</v>
      </c>
    </row>
    <row r="160" spans="1:18" x14ac:dyDescent="0.35">
      <c r="A160" s="29" t="s">
        <v>1348</v>
      </c>
      <c r="B160" s="49" t="s">
        <v>1363</v>
      </c>
      <c r="C160" s="41"/>
      <c r="D160" s="50"/>
      <c r="E160" s="50"/>
      <c r="F160" s="50"/>
      <c r="G160" s="50"/>
      <c r="H160" s="50"/>
      <c r="I160" s="50"/>
      <c r="J160" s="50"/>
      <c r="K160" s="41"/>
      <c r="L160" s="50"/>
      <c r="M160" s="50"/>
      <c r="N160" s="50"/>
      <c r="O160" s="50"/>
      <c r="P160" s="50"/>
      <c r="Q160" s="50"/>
      <c r="R160" s="50"/>
    </row>
    <row r="161" spans="1:18" ht="29" x14ac:dyDescent="0.35">
      <c r="A161" s="29" t="s">
        <v>1450</v>
      </c>
      <c r="B161" s="49" t="str">
        <f>VLOOKUP(B160,'Working BOQ'!A:K,9,0)</f>
        <v>Removal of Fire Hose Reel</v>
      </c>
      <c r="C161" s="41"/>
      <c r="D161" s="50"/>
      <c r="E161" s="50"/>
      <c r="F161" s="50"/>
      <c r="G161" s="50"/>
      <c r="H161" s="50"/>
      <c r="I161" s="50"/>
      <c r="J161" s="50"/>
      <c r="K161" s="41"/>
      <c r="L161" s="50"/>
      <c r="M161" s="50"/>
      <c r="N161" s="50"/>
      <c r="O161" s="50"/>
      <c r="P161" s="50"/>
      <c r="Q161" s="50"/>
      <c r="R161" s="50"/>
    </row>
    <row r="162" spans="1:18" x14ac:dyDescent="0.35">
      <c r="A162" s="29" t="s">
        <v>1451</v>
      </c>
      <c r="B162" s="49">
        <f>VLOOKUP(B160,'Working BOQ'!A:N,14,0)</f>
        <v>1</v>
      </c>
      <c r="C162" s="41"/>
      <c r="D162" s="50"/>
      <c r="E162" s="50"/>
      <c r="F162" s="50"/>
      <c r="G162" s="50"/>
      <c r="H162" s="50"/>
      <c r="I162" s="50"/>
      <c r="J162" s="50"/>
      <c r="K162" s="41"/>
      <c r="L162" s="50"/>
      <c r="M162" s="50"/>
      <c r="N162" s="50"/>
      <c r="O162" s="50"/>
      <c r="P162" s="50"/>
      <c r="Q162" s="50"/>
      <c r="R162" s="50"/>
    </row>
    <row r="163" spans="1:18" x14ac:dyDescent="0.35">
      <c r="A163" s="29" t="s">
        <v>1</v>
      </c>
      <c r="B163" s="49" t="str">
        <f>VLOOKUP(B160,'Working BOQ'!A:K,11,0)</f>
        <v>L/s</v>
      </c>
      <c r="C163" s="41"/>
      <c r="D163" s="50"/>
      <c r="E163" s="50"/>
      <c r="F163" s="50"/>
      <c r="G163" s="50"/>
      <c r="H163" s="50"/>
      <c r="I163" s="50"/>
      <c r="J163" s="50"/>
      <c r="K163" s="41"/>
      <c r="L163" s="50"/>
      <c r="M163" s="50"/>
      <c r="N163" s="50"/>
      <c r="O163" s="50"/>
      <c r="P163" s="50"/>
      <c r="Q163" s="50"/>
      <c r="R163" s="50"/>
    </row>
    <row r="164" spans="1:18" s="6" customFormat="1" x14ac:dyDescent="0.35">
      <c r="A164" s="24" t="s">
        <v>110</v>
      </c>
      <c r="B164" s="5" t="s">
        <v>112</v>
      </c>
      <c r="C164" s="5" t="s">
        <v>111</v>
      </c>
      <c r="D164" s="16" t="s">
        <v>1200</v>
      </c>
      <c r="E164" s="16" t="s">
        <v>1200</v>
      </c>
      <c r="F164" s="16" t="s">
        <v>1452</v>
      </c>
      <c r="G164" s="16" t="s">
        <v>1453</v>
      </c>
      <c r="H164" s="16" t="s">
        <v>1454</v>
      </c>
      <c r="I164" s="16" t="s">
        <v>1455</v>
      </c>
      <c r="J164" s="16" t="s">
        <v>3</v>
      </c>
      <c r="K164" s="5" t="s">
        <v>1</v>
      </c>
      <c r="L164" s="16" t="s">
        <v>1456</v>
      </c>
      <c r="M164" s="16" t="s">
        <v>1457</v>
      </c>
      <c r="N164" s="16" t="s">
        <v>1458</v>
      </c>
      <c r="O164" s="16" t="s">
        <v>1459</v>
      </c>
      <c r="P164" s="16" t="s">
        <v>1122</v>
      </c>
      <c r="Q164" s="16" t="s">
        <v>1486</v>
      </c>
      <c r="R164" s="16" t="s">
        <v>1498</v>
      </c>
    </row>
    <row r="165" spans="1:18" x14ac:dyDescent="0.35">
      <c r="A165" s="27"/>
      <c r="B165" s="41"/>
      <c r="C165" s="41"/>
      <c r="D165" s="50"/>
      <c r="E165" s="50"/>
      <c r="F165" s="50"/>
      <c r="G165" s="50"/>
      <c r="H165" s="50"/>
      <c r="I165" s="50"/>
      <c r="J165" s="50"/>
      <c r="K165" s="41"/>
      <c r="L165" s="50"/>
      <c r="M165" s="50"/>
      <c r="N165" s="50"/>
      <c r="O165" s="50"/>
      <c r="P165" s="50"/>
      <c r="Q165" s="50"/>
      <c r="R165" s="50"/>
    </row>
    <row r="166" spans="1:18" x14ac:dyDescent="0.35">
      <c r="A166" s="26">
        <v>1</v>
      </c>
      <c r="B166" s="8" t="s">
        <v>1493</v>
      </c>
      <c r="C166" s="41" t="str">
        <f>VLOOKUP(B166,'Project Resource Master'!C:N,5,0)</f>
        <v>Mechanic</v>
      </c>
      <c r="D166" s="50">
        <v>10</v>
      </c>
      <c r="E166" s="50">
        <v>1</v>
      </c>
      <c r="F166" s="50">
        <v>1</v>
      </c>
      <c r="G166" s="50">
        <v>1</v>
      </c>
      <c r="H166" s="50">
        <v>1</v>
      </c>
      <c r="I166" s="50">
        <v>1</v>
      </c>
      <c r="J166" s="50">
        <f>PRODUCT(D166:I166)</f>
        <v>10</v>
      </c>
      <c r="K166" s="41" t="str">
        <f>VLOOKUP(B166,'Project Resource Master'!C:N,6,0)</f>
        <v>hr</v>
      </c>
      <c r="L166" s="50">
        <f>VLOOKUP(B166,'Project Resource Master'!C:N,11,0)</f>
        <v>0.05</v>
      </c>
      <c r="M166" s="50">
        <f>J166*L166</f>
        <v>0.5</v>
      </c>
      <c r="N166" s="50">
        <f>+J166+M166</f>
        <v>10.5</v>
      </c>
      <c r="O166" s="50">
        <f>VLOOKUP(B166,'Project Resource Master'!C:N,12,0)</f>
        <v>80</v>
      </c>
      <c r="P166" s="50">
        <f>+O166*N166</f>
        <v>840</v>
      </c>
      <c r="Q166" s="50">
        <f>+N166*B162</f>
        <v>10.5</v>
      </c>
      <c r="R166" s="50">
        <f>Q166*O166</f>
        <v>840</v>
      </c>
    </row>
    <row r="167" spans="1:18" x14ac:dyDescent="0.35">
      <c r="A167" s="26">
        <v>2</v>
      </c>
      <c r="B167" s="8" t="s">
        <v>1492</v>
      </c>
      <c r="C167" s="41" t="str">
        <f>VLOOKUP(B167,'Project Resource Master'!C:N,5,0)</f>
        <v>Helper</v>
      </c>
      <c r="D167" s="50">
        <v>10</v>
      </c>
      <c r="E167" s="50">
        <v>1</v>
      </c>
      <c r="F167" s="50">
        <v>1</v>
      </c>
      <c r="G167" s="50">
        <v>1</v>
      </c>
      <c r="H167" s="50">
        <v>1</v>
      </c>
      <c r="I167" s="50">
        <v>1</v>
      </c>
      <c r="J167" s="50">
        <f>PRODUCT(D167:I167)</f>
        <v>10</v>
      </c>
      <c r="K167" s="41" t="str">
        <f>VLOOKUP(B167,'Project Resource Master'!C:N,6,0)</f>
        <v>hr</v>
      </c>
      <c r="L167" s="50">
        <f>VLOOKUP(B167,'Project Resource Master'!C:N,11,0)</f>
        <v>0.1</v>
      </c>
      <c r="M167" s="50">
        <f>J167*L167</f>
        <v>1</v>
      </c>
      <c r="N167" s="50">
        <f>+J167+M167</f>
        <v>11</v>
      </c>
      <c r="O167" s="50">
        <f>VLOOKUP(B167,'Project Resource Master'!C:N,12,0)</f>
        <v>50</v>
      </c>
      <c r="P167" s="50">
        <f>+O167*N167</f>
        <v>550</v>
      </c>
      <c r="Q167" s="50">
        <f>+N167*B162</f>
        <v>11</v>
      </c>
      <c r="R167" s="50">
        <f>Q167*O167</f>
        <v>550</v>
      </c>
    </row>
    <row r="168" spans="1:18" x14ac:dyDescent="0.35">
      <c r="A168" s="27"/>
      <c r="B168" s="41"/>
      <c r="C168" s="41"/>
      <c r="D168" s="50"/>
      <c r="E168" s="50"/>
      <c r="F168" s="50"/>
      <c r="G168" s="50"/>
      <c r="H168" s="50"/>
      <c r="I168" s="50"/>
      <c r="J168" s="50"/>
      <c r="K168" s="41"/>
      <c r="L168" s="50"/>
      <c r="M168" s="50"/>
      <c r="N168" s="50"/>
      <c r="O168" s="50"/>
      <c r="P168" s="50"/>
      <c r="Q168" s="50"/>
      <c r="R168" s="50"/>
    </row>
    <row r="169" spans="1:18" s="14" customFormat="1" x14ac:dyDescent="0.35">
      <c r="A169" s="29" t="str">
        <f>B160</f>
        <v>2f</v>
      </c>
      <c r="B169" s="7"/>
      <c r="C169" s="7" t="s">
        <v>1485</v>
      </c>
      <c r="D169" s="51"/>
      <c r="E169" s="51"/>
      <c r="F169" s="51"/>
      <c r="G169" s="51"/>
      <c r="H169" s="51"/>
      <c r="I169" s="51"/>
      <c r="J169" s="51"/>
      <c r="K169" s="7"/>
      <c r="L169" s="51"/>
      <c r="M169" s="51"/>
      <c r="N169" s="51"/>
      <c r="O169" s="51"/>
      <c r="P169" s="51">
        <f>SUM(P165:P168)</f>
        <v>1390</v>
      </c>
      <c r="Q169" s="51"/>
      <c r="R169" s="51">
        <f>SUM(R165:R168)</f>
        <v>1390</v>
      </c>
    </row>
    <row r="172" spans="1:18" x14ac:dyDescent="0.35">
      <c r="A172" s="29" t="s">
        <v>1348</v>
      </c>
      <c r="B172" s="49" t="s">
        <v>1364</v>
      </c>
      <c r="C172" s="41"/>
      <c r="D172" s="50"/>
      <c r="E172" s="50"/>
      <c r="F172" s="50"/>
      <c r="G172" s="50"/>
      <c r="H172" s="50"/>
      <c r="I172" s="50"/>
      <c r="J172" s="50"/>
      <c r="K172" s="41"/>
      <c r="L172" s="50"/>
      <c r="M172" s="50"/>
      <c r="N172" s="50"/>
      <c r="O172" s="50"/>
      <c r="P172" s="50"/>
      <c r="Q172" s="50"/>
      <c r="R172" s="50"/>
    </row>
    <row r="173" spans="1:18" ht="29" x14ac:dyDescent="0.35">
      <c r="A173" s="29" t="s">
        <v>1450</v>
      </c>
      <c r="B173" s="49" t="str">
        <f>VLOOKUP(B172,'Working BOQ'!A:K,9,0)</f>
        <v>Removal of Fire Water Piping</v>
      </c>
      <c r="C173" s="41"/>
      <c r="D173" s="50"/>
      <c r="E173" s="50"/>
      <c r="F173" s="50"/>
      <c r="G173" s="50"/>
      <c r="H173" s="50"/>
      <c r="I173" s="50"/>
      <c r="J173" s="50"/>
      <c r="K173" s="41"/>
      <c r="L173" s="50"/>
      <c r="M173" s="50"/>
      <c r="N173" s="50"/>
      <c r="O173" s="50"/>
      <c r="P173" s="50"/>
      <c r="Q173" s="50"/>
      <c r="R173" s="50"/>
    </row>
    <row r="174" spans="1:18" x14ac:dyDescent="0.35">
      <c r="A174" s="29" t="s">
        <v>1451</v>
      </c>
      <c r="B174" s="49">
        <f>VLOOKUP(B172,'Working BOQ'!A:N,14,0)</f>
        <v>1</v>
      </c>
      <c r="C174" s="41"/>
      <c r="D174" s="50"/>
      <c r="E174" s="50"/>
      <c r="F174" s="50"/>
      <c r="G174" s="50"/>
      <c r="H174" s="50"/>
      <c r="I174" s="50"/>
      <c r="J174" s="50"/>
      <c r="K174" s="41"/>
      <c r="L174" s="50"/>
      <c r="M174" s="50"/>
      <c r="N174" s="50"/>
      <c r="O174" s="50"/>
      <c r="P174" s="50"/>
      <c r="Q174" s="50"/>
      <c r="R174" s="50"/>
    </row>
    <row r="175" spans="1:18" x14ac:dyDescent="0.35">
      <c r="A175" s="29" t="s">
        <v>1</v>
      </c>
      <c r="B175" s="49" t="str">
        <f>VLOOKUP(B172,'Working BOQ'!A:K,11,0)</f>
        <v>L/s</v>
      </c>
      <c r="C175" s="41"/>
      <c r="D175" s="50"/>
      <c r="E175" s="50"/>
      <c r="F175" s="50"/>
      <c r="G175" s="50"/>
      <c r="H175" s="50"/>
      <c r="I175" s="50"/>
      <c r="J175" s="50"/>
      <c r="K175" s="41"/>
      <c r="L175" s="50"/>
      <c r="M175" s="50"/>
      <c r="N175" s="50"/>
      <c r="O175" s="50"/>
      <c r="P175" s="50"/>
      <c r="Q175" s="50"/>
      <c r="R175" s="50"/>
    </row>
    <row r="176" spans="1:18" s="6" customFormat="1" x14ac:dyDescent="0.35">
      <c r="A176" s="24" t="s">
        <v>110</v>
      </c>
      <c r="B176" s="5" t="s">
        <v>112</v>
      </c>
      <c r="C176" s="5" t="s">
        <v>111</v>
      </c>
      <c r="D176" s="16" t="s">
        <v>1200</v>
      </c>
      <c r="E176" s="16" t="s">
        <v>1200</v>
      </c>
      <c r="F176" s="16" t="s">
        <v>1452</v>
      </c>
      <c r="G176" s="16" t="s">
        <v>1453</v>
      </c>
      <c r="H176" s="16" t="s">
        <v>1454</v>
      </c>
      <c r="I176" s="16" t="s">
        <v>1455</v>
      </c>
      <c r="J176" s="16" t="s">
        <v>3</v>
      </c>
      <c r="K176" s="5" t="s">
        <v>1</v>
      </c>
      <c r="L176" s="16" t="s">
        <v>1456</v>
      </c>
      <c r="M176" s="16" t="s">
        <v>1457</v>
      </c>
      <c r="N176" s="16" t="s">
        <v>1458</v>
      </c>
      <c r="O176" s="16" t="s">
        <v>1459</v>
      </c>
      <c r="P176" s="16" t="s">
        <v>1122</v>
      </c>
      <c r="Q176" s="16" t="s">
        <v>1486</v>
      </c>
      <c r="R176" s="16" t="s">
        <v>1498</v>
      </c>
    </row>
    <row r="177" spans="1:18" x14ac:dyDescent="0.35">
      <c r="A177" s="27"/>
      <c r="B177" s="41"/>
      <c r="C177" s="41"/>
      <c r="D177" s="50"/>
      <c r="E177" s="50"/>
      <c r="F177" s="50"/>
      <c r="G177" s="50"/>
      <c r="H177" s="50"/>
      <c r="I177" s="50"/>
      <c r="J177" s="50"/>
      <c r="K177" s="41"/>
      <c r="L177" s="50"/>
      <c r="M177" s="50"/>
      <c r="N177" s="50"/>
      <c r="O177" s="50"/>
      <c r="P177" s="50"/>
      <c r="Q177" s="50"/>
      <c r="R177" s="50"/>
    </row>
    <row r="178" spans="1:18" x14ac:dyDescent="0.35">
      <c r="A178" s="26">
        <v>1</v>
      </c>
      <c r="B178" s="8" t="s">
        <v>1493</v>
      </c>
      <c r="C178" s="41" t="str">
        <f>VLOOKUP(B178,'Project Resource Master'!C:N,5,0)</f>
        <v>Mechanic</v>
      </c>
      <c r="D178" s="50">
        <v>10</v>
      </c>
      <c r="E178" s="50">
        <v>1</v>
      </c>
      <c r="F178" s="50">
        <v>1</v>
      </c>
      <c r="G178" s="50">
        <v>1</v>
      </c>
      <c r="H178" s="50">
        <v>1</v>
      </c>
      <c r="I178" s="50">
        <v>1</v>
      </c>
      <c r="J178" s="50">
        <f>PRODUCT(D178:I178)</f>
        <v>10</v>
      </c>
      <c r="K178" s="41" t="str">
        <f>VLOOKUP(B178,'Project Resource Master'!C:N,6,0)</f>
        <v>hr</v>
      </c>
      <c r="L178" s="50">
        <f>VLOOKUP(B178,'Project Resource Master'!C:N,11,0)</f>
        <v>0.05</v>
      </c>
      <c r="M178" s="50">
        <f>J178*L178</f>
        <v>0.5</v>
      </c>
      <c r="N178" s="50">
        <f>+J178+M178</f>
        <v>10.5</v>
      </c>
      <c r="O178" s="50">
        <f>VLOOKUP(B178,'Project Resource Master'!C:N,12,0)</f>
        <v>80</v>
      </c>
      <c r="P178" s="50">
        <f>+O178*N178</f>
        <v>840</v>
      </c>
      <c r="Q178" s="50">
        <f>+N178*B174</f>
        <v>10.5</v>
      </c>
      <c r="R178" s="50">
        <f>Q178*O178</f>
        <v>840</v>
      </c>
    </row>
    <row r="179" spans="1:18" x14ac:dyDescent="0.35">
      <c r="A179" s="26">
        <v>2</v>
      </c>
      <c r="B179" s="8" t="s">
        <v>1492</v>
      </c>
      <c r="C179" s="41" t="str">
        <f>VLOOKUP(B179,'Project Resource Master'!C:N,5,0)</f>
        <v>Helper</v>
      </c>
      <c r="D179" s="50">
        <v>10</v>
      </c>
      <c r="E179" s="50">
        <v>1</v>
      </c>
      <c r="F179" s="50">
        <v>1</v>
      </c>
      <c r="G179" s="50">
        <v>1</v>
      </c>
      <c r="H179" s="50">
        <v>1</v>
      </c>
      <c r="I179" s="50">
        <v>1</v>
      </c>
      <c r="J179" s="50">
        <f>PRODUCT(D179:I179)</f>
        <v>10</v>
      </c>
      <c r="K179" s="41" t="str">
        <f>VLOOKUP(B179,'Project Resource Master'!C:N,6,0)</f>
        <v>hr</v>
      </c>
      <c r="L179" s="50">
        <f>VLOOKUP(B179,'Project Resource Master'!C:N,11,0)</f>
        <v>0.1</v>
      </c>
      <c r="M179" s="50">
        <f>J179*L179</f>
        <v>1</v>
      </c>
      <c r="N179" s="50">
        <f>+J179+M179</f>
        <v>11</v>
      </c>
      <c r="O179" s="50">
        <f>VLOOKUP(B179,'Project Resource Master'!C:N,12,0)</f>
        <v>50</v>
      </c>
      <c r="P179" s="50">
        <f>+O179*N179</f>
        <v>550</v>
      </c>
      <c r="Q179" s="50">
        <f>+N179*B174</f>
        <v>11</v>
      </c>
      <c r="R179" s="50">
        <f>Q179*O179</f>
        <v>550</v>
      </c>
    </row>
    <row r="180" spans="1:18" x14ac:dyDescent="0.35">
      <c r="A180" s="27"/>
      <c r="B180" s="41"/>
      <c r="C180" s="41"/>
      <c r="D180" s="50"/>
      <c r="E180" s="50"/>
      <c r="F180" s="50"/>
      <c r="G180" s="50"/>
      <c r="H180" s="50"/>
      <c r="I180" s="50"/>
      <c r="J180" s="50"/>
      <c r="K180" s="41"/>
      <c r="L180" s="50"/>
      <c r="M180" s="50"/>
      <c r="N180" s="50"/>
      <c r="O180" s="50"/>
      <c r="P180" s="50"/>
      <c r="Q180" s="50"/>
      <c r="R180" s="50"/>
    </row>
    <row r="181" spans="1:18" s="14" customFormat="1" x14ac:dyDescent="0.35">
      <c r="A181" s="29" t="str">
        <f>B172</f>
        <v>2g</v>
      </c>
      <c r="B181" s="7"/>
      <c r="C181" s="7" t="s">
        <v>1485</v>
      </c>
      <c r="D181" s="51"/>
      <c r="E181" s="51"/>
      <c r="F181" s="51"/>
      <c r="G181" s="51"/>
      <c r="H181" s="51"/>
      <c r="I181" s="51"/>
      <c r="J181" s="51"/>
      <c r="K181" s="7"/>
      <c r="L181" s="51"/>
      <c r="M181" s="51"/>
      <c r="N181" s="51"/>
      <c r="O181" s="51"/>
      <c r="P181" s="51">
        <f>SUM(P177:P180)</f>
        <v>1390</v>
      </c>
      <c r="Q181" s="51"/>
      <c r="R181" s="51">
        <f>SUM(R177:R180)</f>
        <v>1390</v>
      </c>
    </row>
    <row r="184" spans="1:18" x14ac:dyDescent="0.35">
      <c r="A184" s="29" t="s">
        <v>1348</v>
      </c>
      <c r="B184" s="49" t="s">
        <v>1365</v>
      </c>
      <c r="C184" s="41"/>
      <c r="D184" s="50"/>
      <c r="E184" s="50"/>
      <c r="F184" s="50"/>
      <c r="G184" s="50"/>
      <c r="H184" s="50"/>
      <c r="I184" s="50"/>
      <c r="J184" s="50"/>
      <c r="K184" s="41"/>
      <c r="L184" s="50"/>
      <c r="M184" s="50"/>
      <c r="N184" s="50"/>
      <c r="O184" s="50"/>
      <c r="P184" s="50"/>
      <c r="Q184" s="50"/>
      <c r="R184" s="50"/>
    </row>
    <row r="185" spans="1:18" ht="29" x14ac:dyDescent="0.35">
      <c r="A185" s="29" t="s">
        <v>1450</v>
      </c>
      <c r="B185" s="49" t="str">
        <f>VLOOKUP(B184,'Working BOQ'!A:K,9,0)</f>
        <v>Removal of IT items</v>
      </c>
      <c r="C185" s="41"/>
      <c r="D185" s="50"/>
      <c r="E185" s="50"/>
      <c r="F185" s="50"/>
      <c r="G185" s="50"/>
      <c r="H185" s="50"/>
      <c r="I185" s="50"/>
      <c r="J185" s="50"/>
      <c r="K185" s="41"/>
      <c r="L185" s="50"/>
      <c r="M185" s="50"/>
      <c r="N185" s="50"/>
      <c r="O185" s="50"/>
      <c r="P185" s="50"/>
      <c r="Q185" s="50"/>
      <c r="R185" s="50"/>
    </row>
    <row r="186" spans="1:18" x14ac:dyDescent="0.35">
      <c r="A186" s="29" t="s">
        <v>1451</v>
      </c>
      <c r="B186" s="49">
        <f>VLOOKUP(B184,'Working BOQ'!A:N,14,0)</f>
        <v>1</v>
      </c>
      <c r="C186" s="41"/>
      <c r="D186" s="50"/>
      <c r="E186" s="50"/>
      <c r="F186" s="50"/>
      <c r="G186" s="50"/>
      <c r="H186" s="50"/>
      <c r="I186" s="50"/>
      <c r="J186" s="50"/>
      <c r="K186" s="41"/>
      <c r="L186" s="50"/>
      <c r="M186" s="50"/>
      <c r="N186" s="50"/>
      <c r="O186" s="50"/>
      <c r="P186" s="50"/>
      <c r="Q186" s="50"/>
      <c r="R186" s="50"/>
    </row>
    <row r="187" spans="1:18" x14ac:dyDescent="0.35">
      <c r="A187" s="29" t="s">
        <v>1</v>
      </c>
      <c r="B187" s="49" t="str">
        <f>VLOOKUP(B184,'Working BOQ'!A:K,11,0)</f>
        <v>L/s</v>
      </c>
      <c r="C187" s="41"/>
      <c r="D187" s="50"/>
      <c r="E187" s="50"/>
      <c r="F187" s="50"/>
      <c r="G187" s="50"/>
      <c r="H187" s="50"/>
      <c r="I187" s="50"/>
      <c r="J187" s="50"/>
      <c r="K187" s="41"/>
      <c r="L187" s="50"/>
      <c r="M187" s="50"/>
      <c r="N187" s="50"/>
      <c r="O187" s="50"/>
      <c r="P187" s="50"/>
      <c r="Q187" s="50"/>
      <c r="R187" s="50"/>
    </row>
    <row r="188" spans="1:18" s="6" customFormat="1" x14ac:dyDescent="0.35">
      <c r="A188" s="24" t="s">
        <v>110</v>
      </c>
      <c r="B188" s="5" t="s">
        <v>112</v>
      </c>
      <c r="C188" s="5" t="s">
        <v>111</v>
      </c>
      <c r="D188" s="16" t="s">
        <v>1200</v>
      </c>
      <c r="E188" s="16" t="s">
        <v>1200</v>
      </c>
      <c r="F188" s="16" t="s">
        <v>1452</v>
      </c>
      <c r="G188" s="16" t="s">
        <v>1453</v>
      </c>
      <c r="H188" s="16" t="s">
        <v>1454</v>
      </c>
      <c r="I188" s="16" t="s">
        <v>1455</v>
      </c>
      <c r="J188" s="16" t="s">
        <v>3</v>
      </c>
      <c r="K188" s="5" t="s">
        <v>1</v>
      </c>
      <c r="L188" s="16" t="s">
        <v>1456</v>
      </c>
      <c r="M188" s="16" t="s">
        <v>1457</v>
      </c>
      <c r="N188" s="16" t="s">
        <v>1458</v>
      </c>
      <c r="O188" s="16" t="s">
        <v>1459</v>
      </c>
      <c r="P188" s="16" t="s">
        <v>1122</v>
      </c>
      <c r="Q188" s="16" t="s">
        <v>1486</v>
      </c>
      <c r="R188" s="16" t="s">
        <v>1498</v>
      </c>
    </row>
    <row r="189" spans="1:18" x14ac:dyDescent="0.35">
      <c r="A189" s="27"/>
      <c r="B189" s="41"/>
      <c r="C189" s="41"/>
      <c r="D189" s="50"/>
      <c r="E189" s="50"/>
      <c r="F189" s="50"/>
      <c r="G189" s="50"/>
      <c r="H189" s="50"/>
      <c r="I189" s="50"/>
      <c r="J189" s="50"/>
      <c r="K189" s="41"/>
      <c r="L189" s="50"/>
      <c r="M189" s="50"/>
      <c r="N189" s="50"/>
      <c r="O189" s="50"/>
      <c r="P189" s="50"/>
      <c r="Q189" s="50"/>
      <c r="R189" s="50"/>
    </row>
    <row r="190" spans="1:18" x14ac:dyDescent="0.35">
      <c r="A190" s="26">
        <v>1</v>
      </c>
      <c r="B190" s="8" t="s">
        <v>1495</v>
      </c>
      <c r="C190" s="41" t="str">
        <f>VLOOKUP(B190,'Project Resource Master'!C:N,5,0)</f>
        <v>IT Technician</v>
      </c>
      <c r="D190" s="50">
        <v>10</v>
      </c>
      <c r="E190" s="50">
        <v>1</v>
      </c>
      <c r="F190" s="50">
        <v>1</v>
      </c>
      <c r="G190" s="50">
        <v>1</v>
      </c>
      <c r="H190" s="50">
        <v>1</v>
      </c>
      <c r="I190" s="50">
        <v>1</v>
      </c>
      <c r="J190" s="50">
        <f>PRODUCT(D190:I190)</f>
        <v>10</v>
      </c>
      <c r="K190" s="41" t="str">
        <f>VLOOKUP(B190,'Project Resource Master'!C:N,6,0)</f>
        <v>hr</v>
      </c>
      <c r="L190" s="50">
        <f>VLOOKUP(B190,'Project Resource Master'!C:N,11,0)</f>
        <v>0.05</v>
      </c>
      <c r="M190" s="50">
        <f>J190*L190</f>
        <v>0.5</v>
      </c>
      <c r="N190" s="50">
        <f>+J190+M190</f>
        <v>10.5</v>
      </c>
      <c r="O190" s="50">
        <f>VLOOKUP(B190,'Project Resource Master'!C:N,12,0)</f>
        <v>50</v>
      </c>
      <c r="P190" s="50">
        <f>+O190*N190</f>
        <v>525</v>
      </c>
      <c r="Q190" s="50">
        <f>+N190*B186</f>
        <v>10.5</v>
      </c>
      <c r="R190" s="50">
        <f>Q190*O190</f>
        <v>525</v>
      </c>
    </row>
    <row r="191" spans="1:18" x14ac:dyDescent="0.35">
      <c r="A191" s="26">
        <v>2</v>
      </c>
      <c r="B191" s="8" t="s">
        <v>1492</v>
      </c>
      <c r="C191" s="41" t="str">
        <f>VLOOKUP(B191,'Project Resource Master'!C:N,5,0)</f>
        <v>Helper</v>
      </c>
      <c r="D191" s="50">
        <v>10</v>
      </c>
      <c r="E191" s="50">
        <v>1</v>
      </c>
      <c r="F191" s="50">
        <v>1</v>
      </c>
      <c r="G191" s="50">
        <v>1</v>
      </c>
      <c r="H191" s="50">
        <v>1</v>
      </c>
      <c r="I191" s="50">
        <v>1</v>
      </c>
      <c r="J191" s="50">
        <f>PRODUCT(D191:I191)</f>
        <v>10</v>
      </c>
      <c r="K191" s="41" t="str">
        <f>VLOOKUP(B191,'Project Resource Master'!C:N,6,0)</f>
        <v>hr</v>
      </c>
      <c r="L191" s="50">
        <f>VLOOKUP(B191,'Project Resource Master'!C:N,11,0)</f>
        <v>0.1</v>
      </c>
      <c r="M191" s="50">
        <f>J191*L191</f>
        <v>1</v>
      </c>
      <c r="N191" s="50">
        <f>+J191+M191</f>
        <v>11</v>
      </c>
      <c r="O191" s="50">
        <f>VLOOKUP(B191,'Project Resource Master'!C:N,12,0)</f>
        <v>50</v>
      </c>
      <c r="P191" s="50">
        <f>+O191*N191</f>
        <v>550</v>
      </c>
      <c r="Q191" s="50">
        <f>+N191*B186</f>
        <v>11</v>
      </c>
      <c r="R191" s="50">
        <f>Q191*O191</f>
        <v>550</v>
      </c>
    </row>
    <row r="192" spans="1:18" x14ac:dyDescent="0.35">
      <c r="A192" s="27"/>
      <c r="B192" s="41"/>
      <c r="C192" s="41"/>
      <c r="D192" s="50"/>
      <c r="E192" s="50"/>
      <c r="F192" s="50"/>
      <c r="G192" s="50"/>
      <c r="H192" s="50"/>
      <c r="I192" s="50"/>
      <c r="J192" s="50"/>
      <c r="K192" s="41"/>
      <c r="L192" s="50"/>
      <c r="M192" s="50"/>
      <c r="N192" s="50"/>
      <c r="O192" s="50"/>
      <c r="P192" s="50"/>
      <c r="Q192" s="50"/>
      <c r="R192" s="50"/>
    </row>
    <row r="193" spans="1:18" s="14" customFormat="1" x14ac:dyDescent="0.35">
      <c r="A193" s="29" t="str">
        <f>B184</f>
        <v>2h</v>
      </c>
      <c r="B193" s="7"/>
      <c r="C193" s="7" t="s">
        <v>1485</v>
      </c>
      <c r="D193" s="51"/>
      <c r="E193" s="51"/>
      <c r="F193" s="51"/>
      <c r="G193" s="51"/>
      <c r="H193" s="51"/>
      <c r="I193" s="51"/>
      <c r="J193" s="51"/>
      <c r="K193" s="7"/>
      <c r="L193" s="51"/>
      <c r="M193" s="51"/>
      <c r="N193" s="51"/>
      <c r="O193" s="51"/>
      <c r="P193" s="51">
        <f>SUM(P189:P192)</f>
        <v>1075</v>
      </c>
      <c r="Q193" s="51"/>
      <c r="R193" s="51">
        <f>SUM(R189:R192)</f>
        <v>1075</v>
      </c>
    </row>
    <row r="196" spans="1:18" x14ac:dyDescent="0.35">
      <c r="A196" s="29" t="s">
        <v>1348</v>
      </c>
      <c r="B196" s="49" t="s">
        <v>1366</v>
      </c>
      <c r="C196" s="41"/>
      <c r="D196" s="50"/>
      <c r="E196" s="50"/>
      <c r="F196" s="50"/>
      <c r="G196" s="50"/>
      <c r="H196" s="50"/>
      <c r="I196" s="50"/>
      <c r="J196" s="50"/>
      <c r="K196" s="41"/>
      <c r="L196" s="50"/>
      <c r="M196" s="50"/>
      <c r="N196" s="50"/>
      <c r="O196" s="50"/>
      <c r="P196" s="50"/>
      <c r="Q196" s="50"/>
      <c r="R196" s="50"/>
    </row>
    <row r="197" spans="1:18" ht="29" x14ac:dyDescent="0.35">
      <c r="A197" s="29" t="s">
        <v>1450</v>
      </c>
      <c r="B197" s="49" t="str">
        <f>VLOOKUP(B196,'Working BOQ'!A:K,9,0)</f>
        <v>Removal of Loose Furniture</v>
      </c>
      <c r="C197" s="41"/>
      <c r="D197" s="50"/>
      <c r="E197" s="50"/>
      <c r="F197" s="50"/>
      <c r="G197" s="50"/>
      <c r="H197" s="50"/>
      <c r="I197" s="50"/>
      <c r="J197" s="50"/>
      <c r="K197" s="41"/>
      <c r="L197" s="50"/>
      <c r="M197" s="50"/>
      <c r="N197" s="50"/>
      <c r="O197" s="50"/>
      <c r="P197" s="50"/>
      <c r="Q197" s="50"/>
      <c r="R197" s="50"/>
    </row>
    <row r="198" spans="1:18" x14ac:dyDescent="0.35">
      <c r="A198" s="29" t="s">
        <v>1451</v>
      </c>
      <c r="B198" s="49">
        <f>VLOOKUP(B196,'Working BOQ'!A:N,14,0)</f>
        <v>1</v>
      </c>
      <c r="C198" s="41"/>
      <c r="D198" s="50"/>
      <c r="E198" s="50"/>
      <c r="F198" s="50"/>
      <c r="G198" s="50"/>
      <c r="H198" s="50"/>
      <c r="I198" s="50"/>
      <c r="J198" s="50"/>
      <c r="K198" s="41"/>
      <c r="L198" s="50"/>
      <c r="M198" s="50"/>
      <c r="N198" s="50"/>
      <c r="O198" s="50"/>
      <c r="P198" s="50"/>
      <c r="Q198" s="50"/>
      <c r="R198" s="50"/>
    </row>
    <row r="199" spans="1:18" x14ac:dyDescent="0.35">
      <c r="A199" s="29" t="s">
        <v>1</v>
      </c>
      <c r="B199" s="49" t="str">
        <f>VLOOKUP(B196,'Working BOQ'!A:K,11,0)</f>
        <v>L/s</v>
      </c>
      <c r="C199" s="41"/>
      <c r="D199" s="50"/>
      <c r="E199" s="50"/>
      <c r="F199" s="50"/>
      <c r="G199" s="50"/>
      <c r="H199" s="50"/>
      <c r="I199" s="50"/>
      <c r="J199" s="50"/>
      <c r="K199" s="41"/>
      <c r="L199" s="50"/>
      <c r="M199" s="50"/>
      <c r="N199" s="50"/>
      <c r="O199" s="50"/>
      <c r="P199" s="50"/>
      <c r="Q199" s="50"/>
      <c r="R199" s="50"/>
    </row>
    <row r="200" spans="1:18" s="6" customFormat="1" x14ac:dyDescent="0.35">
      <c r="A200" s="24" t="s">
        <v>110</v>
      </c>
      <c r="B200" s="5" t="s">
        <v>112</v>
      </c>
      <c r="C200" s="5" t="s">
        <v>111</v>
      </c>
      <c r="D200" s="16" t="s">
        <v>1200</v>
      </c>
      <c r="E200" s="16" t="s">
        <v>1200</v>
      </c>
      <c r="F200" s="16" t="s">
        <v>1452</v>
      </c>
      <c r="G200" s="16" t="s">
        <v>1453</v>
      </c>
      <c r="H200" s="16" t="s">
        <v>1454</v>
      </c>
      <c r="I200" s="16" t="s">
        <v>1455</v>
      </c>
      <c r="J200" s="16" t="s">
        <v>3</v>
      </c>
      <c r="K200" s="5" t="s">
        <v>1</v>
      </c>
      <c r="L200" s="16" t="s">
        <v>1456</v>
      </c>
      <c r="M200" s="16" t="s">
        <v>1457</v>
      </c>
      <c r="N200" s="16" t="s">
        <v>1458</v>
      </c>
      <c r="O200" s="16" t="s">
        <v>1459</v>
      </c>
      <c r="P200" s="16" t="s">
        <v>1122</v>
      </c>
      <c r="Q200" s="16" t="s">
        <v>1486</v>
      </c>
      <c r="R200" s="16" t="s">
        <v>1498</v>
      </c>
    </row>
    <row r="201" spans="1:18" x14ac:dyDescent="0.35">
      <c r="A201" s="27"/>
      <c r="B201" s="41"/>
      <c r="C201" s="41"/>
      <c r="D201" s="50"/>
      <c r="E201" s="50"/>
      <c r="F201" s="50"/>
      <c r="G201" s="50"/>
      <c r="H201" s="50"/>
      <c r="I201" s="50"/>
      <c r="J201" s="50"/>
      <c r="K201" s="41"/>
      <c r="L201" s="50"/>
      <c r="M201" s="50"/>
      <c r="N201" s="50"/>
      <c r="O201" s="50"/>
      <c r="P201" s="50"/>
      <c r="Q201" s="50"/>
      <c r="R201" s="50"/>
    </row>
    <row r="202" spans="1:18" x14ac:dyDescent="0.35">
      <c r="A202" s="26">
        <v>1</v>
      </c>
      <c r="B202" s="8" t="s">
        <v>1497</v>
      </c>
      <c r="C202" s="41" t="str">
        <f>VLOOKUP(B202,'Project Resource Master'!C:N,5,0)</f>
        <v>Helper</v>
      </c>
      <c r="D202" s="50">
        <v>10</v>
      </c>
      <c r="E202" s="50">
        <v>2</v>
      </c>
      <c r="F202" s="50">
        <v>1</v>
      </c>
      <c r="G202" s="50">
        <v>1</v>
      </c>
      <c r="H202" s="50">
        <v>1</v>
      </c>
      <c r="I202" s="50">
        <v>1</v>
      </c>
      <c r="J202" s="50">
        <f>PRODUCT(D202:I202)</f>
        <v>20</v>
      </c>
      <c r="K202" s="41" t="str">
        <f>VLOOKUP(B202,'Project Resource Master'!C:N,6,0)</f>
        <v>hr</v>
      </c>
      <c r="L202" s="50">
        <f>VLOOKUP(B202,'Project Resource Master'!C:N,11,0)</f>
        <v>0.2</v>
      </c>
      <c r="M202" s="50">
        <f>J202*L202</f>
        <v>4</v>
      </c>
      <c r="N202" s="50">
        <f>+J202+M202</f>
        <v>24</v>
      </c>
      <c r="O202" s="50">
        <f>VLOOKUP(B202,'Project Resource Master'!C:N,12,0)</f>
        <v>100</v>
      </c>
      <c r="P202" s="50">
        <f>+O202*N202</f>
        <v>2400</v>
      </c>
      <c r="Q202" s="50">
        <f>+N202*B198</f>
        <v>24</v>
      </c>
      <c r="R202" s="50">
        <f>Q202*O202</f>
        <v>2400</v>
      </c>
    </row>
    <row r="203" spans="1:18" x14ac:dyDescent="0.35">
      <c r="A203" s="27"/>
      <c r="B203" s="41"/>
      <c r="C203" s="41"/>
      <c r="D203" s="50"/>
      <c r="E203" s="50"/>
      <c r="F203" s="50"/>
      <c r="G203" s="50"/>
      <c r="H203" s="50"/>
      <c r="I203" s="50"/>
      <c r="J203" s="50"/>
      <c r="K203" s="41"/>
      <c r="L203" s="50"/>
      <c r="M203" s="50"/>
      <c r="N203" s="50"/>
      <c r="O203" s="50"/>
      <c r="P203" s="50"/>
      <c r="Q203" s="50"/>
      <c r="R203" s="50"/>
    </row>
    <row r="204" spans="1:18" s="14" customFormat="1" x14ac:dyDescent="0.35">
      <c r="A204" s="29" t="str">
        <f>B196</f>
        <v>2i</v>
      </c>
      <c r="B204" s="7"/>
      <c r="C204" s="7" t="s">
        <v>1485</v>
      </c>
      <c r="D204" s="51"/>
      <c r="E204" s="51"/>
      <c r="F204" s="51"/>
      <c r="G204" s="51"/>
      <c r="H204" s="51"/>
      <c r="I204" s="51"/>
      <c r="J204" s="51"/>
      <c r="K204" s="7"/>
      <c r="L204" s="51"/>
      <c r="M204" s="51"/>
      <c r="N204" s="51"/>
      <c r="O204" s="51"/>
      <c r="P204" s="51">
        <f>SUM(P201:P203)</f>
        <v>2400</v>
      </c>
      <c r="Q204" s="51"/>
      <c r="R204" s="51">
        <f>SUM(R201:R203)</f>
        <v>2400</v>
      </c>
    </row>
    <row r="207" spans="1:18" x14ac:dyDescent="0.35">
      <c r="A207" s="29" t="s">
        <v>1348</v>
      </c>
      <c r="B207" s="49" t="s">
        <v>1367</v>
      </c>
      <c r="C207" s="41"/>
      <c r="D207" s="50"/>
      <c r="E207" s="50"/>
      <c r="F207" s="50"/>
      <c r="G207" s="50"/>
      <c r="H207" s="50"/>
      <c r="I207" s="50"/>
      <c r="J207" s="50"/>
      <c r="K207" s="41"/>
      <c r="L207" s="50"/>
      <c r="M207" s="50"/>
      <c r="N207" s="50"/>
      <c r="O207" s="50"/>
      <c r="P207" s="50"/>
      <c r="Q207" s="50"/>
      <c r="R207" s="50"/>
    </row>
    <row r="208" spans="1:18" ht="29" x14ac:dyDescent="0.35">
      <c r="A208" s="29" t="s">
        <v>1450</v>
      </c>
      <c r="B208" s="49" t="str">
        <f>VLOOKUP(B207,'Working BOQ'!A:K,9,0)</f>
        <v>Removal of Wall Panelling</v>
      </c>
      <c r="C208" s="41"/>
      <c r="D208" s="50"/>
      <c r="E208" s="50"/>
      <c r="F208" s="50"/>
      <c r="G208" s="50"/>
      <c r="H208" s="50"/>
      <c r="I208" s="50"/>
      <c r="J208" s="50"/>
      <c r="K208" s="41"/>
      <c r="L208" s="50"/>
      <c r="M208" s="50"/>
      <c r="N208" s="50"/>
      <c r="O208" s="50"/>
      <c r="P208" s="50"/>
      <c r="Q208" s="50"/>
      <c r="R208" s="50"/>
    </row>
    <row r="209" spans="1:18" x14ac:dyDescent="0.35">
      <c r="A209" s="29" t="s">
        <v>1451</v>
      </c>
      <c r="B209" s="49">
        <f>VLOOKUP(B207,'Working BOQ'!A:N,14,0)</f>
        <v>1</v>
      </c>
      <c r="C209" s="41"/>
      <c r="D209" s="50"/>
      <c r="E209" s="50"/>
      <c r="F209" s="50"/>
      <c r="G209" s="50"/>
      <c r="H209" s="50"/>
      <c r="I209" s="50"/>
      <c r="J209" s="50"/>
      <c r="K209" s="41"/>
      <c r="L209" s="50"/>
      <c r="M209" s="50"/>
      <c r="N209" s="50"/>
      <c r="O209" s="50"/>
      <c r="P209" s="50"/>
      <c r="Q209" s="50"/>
      <c r="R209" s="50"/>
    </row>
    <row r="210" spans="1:18" x14ac:dyDescent="0.35">
      <c r="A210" s="29" t="s">
        <v>1</v>
      </c>
      <c r="B210" s="49" t="str">
        <f>VLOOKUP(B207,'Working BOQ'!A:K,11,0)</f>
        <v>L/s</v>
      </c>
      <c r="C210" s="41"/>
      <c r="D210" s="50"/>
      <c r="E210" s="50"/>
      <c r="F210" s="50"/>
      <c r="G210" s="50"/>
      <c r="H210" s="50"/>
      <c r="I210" s="50"/>
      <c r="J210" s="50"/>
      <c r="K210" s="41"/>
      <c r="L210" s="50"/>
      <c r="M210" s="50"/>
      <c r="N210" s="50"/>
      <c r="O210" s="50"/>
      <c r="P210" s="50"/>
      <c r="Q210" s="50"/>
      <c r="R210" s="50"/>
    </row>
    <row r="211" spans="1:18" s="6" customFormat="1" x14ac:dyDescent="0.35">
      <c r="A211" s="24" t="s">
        <v>110</v>
      </c>
      <c r="B211" s="5" t="s">
        <v>112</v>
      </c>
      <c r="C211" s="5" t="s">
        <v>111</v>
      </c>
      <c r="D211" s="16" t="s">
        <v>1200</v>
      </c>
      <c r="E211" s="16" t="s">
        <v>1200</v>
      </c>
      <c r="F211" s="16" t="s">
        <v>1452</v>
      </c>
      <c r="G211" s="16" t="s">
        <v>1453</v>
      </c>
      <c r="H211" s="16" t="s">
        <v>1454</v>
      </c>
      <c r="I211" s="16" t="s">
        <v>1455</v>
      </c>
      <c r="J211" s="16" t="s">
        <v>3</v>
      </c>
      <c r="K211" s="5" t="s">
        <v>1</v>
      </c>
      <c r="L211" s="16" t="s">
        <v>1456</v>
      </c>
      <c r="M211" s="16" t="s">
        <v>1457</v>
      </c>
      <c r="N211" s="16" t="s">
        <v>1458</v>
      </c>
      <c r="O211" s="16" t="s">
        <v>1459</v>
      </c>
      <c r="P211" s="16" t="s">
        <v>1122</v>
      </c>
      <c r="Q211" s="16" t="s">
        <v>1486</v>
      </c>
      <c r="R211" s="16" t="s">
        <v>1498</v>
      </c>
    </row>
    <row r="212" spans="1:18" x14ac:dyDescent="0.35">
      <c r="A212" s="27"/>
      <c r="B212" s="41"/>
      <c r="C212" s="41"/>
      <c r="D212" s="50"/>
      <c r="E212" s="50"/>
      <c r="F212" s="50"/>
      <c r="G212" s="50"/>
      <c r="H212" s="50"/>
      <c r="I212" s="50"/>
      <c r="J212" s="50"/>
      <c r="K212" s="41"/>
      <c r="L212" s="50"/>
      <c r="M212" s="50"/>
      <c r="N212" s="50"/>
      <c r="O212" s="50"/>
      <c r="P212" s="50"/>
      <c r="Q212" s="50"/>
      <c r="R212" s="50"/>
    </row>
    <row r="213" spans="1:18" x14ac:dyDescent="0.35">
      <c r="A213" s="26">
        <v>1</v>
      </c>
      <c r="B213" s="8" t="s">
        <v>1497</v>
      </c>
      <c r="C213" s="41" t="str">
        <f>VLOOKUP(B213,'Project Resource Master'!C:N,5,0)</f>
        <v>Helper</v>
      </c>
      <c r="D213" s="50">
        <v>10</v>
      </c>
      <c r="E213" s="50">
        <v>2</v>
      </c>
      <c r="F213" s="50">
        <v>1</v>
      </c>
      <c r="G213" s="50">
        <v>1</v>
      </c>
      <c r="H213" s="50">
        <v>1</v>
      </c>
      <c r="I213" s="50">
        <v>1</v>
      </c>
      <c r="J213" s="50">
        <f>PRODUCT(D213:I213)</f>
        <v>20</v>
      </c>
      <c r="K213" s="41" t="str">
        <f>VLOOKUP(B213,'Project Resource Master'!C:N,6,0)</f>
        <v>hr</v>
      </c>
      <c r="L213" s="50">
        <f>VLOOKUP(B213,'Project Resource Master'!C:N,11,0)</f>
        <v>0.2</v>
      </c>
      <c r="M213" s="50">
        <f>J213*L213</f>
        <v>4</v>
      </c>
      <c r="N213" s="50">
        <f>+J213+M213</f>
        <v>24</v>
      </c>
      <c r="O213" s="50">
        <f>VLOOKUP(B213,'Project Resource Master'!C:N,12,0)</f>
        <v>100</v>
      </c>
      <c r="P213" s="50">
        <f>+O213*N213</f>
        <v>2400</v>
      </c>
      <c r="Q213" s="50">
        <f>+N213*B209</f>
        <v>24</v>
      </c>
      <c r="R213" s="50">
        <f>Q213*O213</f>
        <v>2400</v>
      </c>
    </row>
    <row r="214" spans="1:18" x14ac:dyDescent="0.35">
      <c r="A214" s="27"/>
      <c r="B214" s="41"/>
      <c r="C214" s="41"/>
      <c r="D214" s="50"/>
      <c r="E214" s="50"/>
      <c r="F214" s="50"/>
      <c r="G214" s="50"/>
      <c r="H214" s="50"/>
      <c r="I214" s="50"/>
      <c r="J214" s="50"/>
      <c r="K214" s="41"/>
      <c r="L214" s="50"/>
      <c r="M214" s="50"/>
      <c r="N214" s="50"/>
      <c r="O214" s="50"/>
      <c r="P214" s="50"/>
      <c r="Q214" s="50"/>
      <c r="R214" s="50"/>
    </row>
    <row r="215" spans="1:18" s="14" customFormat="1" x14ac:dyDescent="0.35">
      <c r="A215" s="29" t="str">
        <f>B207</f>
        <v>2j</v>
      </c>
      <c r="B215" s="7"/>
      <c r="C215" s="7" t="s">
        <v>1485</v>
      </c>
      <c r="D215" s="51"/>
      <c r="E215" s="51"/>
      <c r="F215" s="51"/>
      <c r="G215" s="51"/>
      <c r="H215" s="51"/>
      <c r="I215" s="51"/>
      <c r="J215" s="51"/>
      <c r="K215" s="7"/>
      <c r="L215" s="51"/>
      <c r="M215" s="51"/>
      <c r="N215" s="51"/>
      <c r="O215" s="51"/>
      <c r="P215" s="51">
        <f>SUM(P212:P214)</f>
        <v>2400</v>
      </c>
      <c r="Q215" s="51"/>
      <c r="R215" s="51">
        <f>SUM(R212:R214)</f>
        <v>2400</v>
      </c>
    </row>
    <row r="218" spans="1:18" x14ac:dyDescent="0.35">
      <c r="A218" s="29" t="s">
        <v>1348</v>
      </c>
      <c r="B218" s="49" t="s">
        <v>1368</v>
      </c>
      <c r="C218" s="41"/>
      <c r="D218" s="50"/>
      <c r="E218" s="50"/>
      <c r="F218" s="50"/>
      <c r="G218" s="50"/>
      <c r="H218" s="50"/>
      <c r="I218" s="50"/>
      <c r="J218" s="50"/>
      <c r="K218" s="41"/>
      <c r="L218" s="50"/>
      <c r="M218" s="50"/>
      <c r="N218" s="50"/>
      <c r="O218" s="50"/>
      <c r="P218" s="50"/>
      <c r="Q218" s="50"/>
      <c r="R218" s="50"/>
    </row>
    <row r="219" spans="1:18" ht="29" x14ac:dyDescent="0.35">
      <c r="A219" s="29" t="s">
        <v>1450</v>
      </c>
      <c r="B219" s="49" t="str">
        <f>VLOOKUP(B218,'Working BOQ'!A:K,9,0)</f>
        <v>Removal of Custom-Joinery</v>
      </c>
      <c r="C219" s="41"/>
      <c r="D219" s="50"/>
      <c r="E219" s="50"/>
      <c r="F219" s="50"/>
      <c r="G219" s="50"/>
      <c r="H219" s="50"/>
      <c r="I219" s="50"/>
      <c r="J219" s="50"/>
      <c r="K219" s="41"/>
      <c r="L219" s="50"/>
      <c r="M219" s="50"/>
      <c r="N219" s="50"/>
      <c r="O219" s="50"/>
      <c r="P219" s="50"/>
      <c r="Q219" s="50"/>
      <c r="R219" s="50"/>
    </row>
    <row r="220" spans="1:18" x14ac:dyDescent="0.35">
      <c r="A220" s="29" t="s">
        <v>1451</v>
      </c>
      <c r="B220" s="49">
        <f>VLOOKUP(B218,'Working BOQ'!A:N,14,0)</f>
        <v>1</v>
      </c>
      <c r="C220" s="41"/>
      <c r="D220" s="50"/>
      <c r="E220" s="50"/>
      <c r="F220" s="50"/>
      <c r="G220" s="50"/>
      <c r="H220" s="50"/>
      <c r="I220" s="50"/>
      <c r="J220" s="50"/>
      <c r="K220" s="41"/>
      <c r="L220" s="50"/>
      <c r="M220" s="50"/>
      <c r="N220" s="50"/>
      <c r="O220" s="50"/>
      <c r="P220" s="50"/>
      <c r="Q220" s="50"/>
      <c r="R220" s="50"/>
    </row>
    <row r="221" spans="1:18" x14ac:dyDescent="0.35">
      <c r="A221" s="29" t="s">
        <v>1</v>
      </c>
      <c r="B221" s="49" t="str">
        <f>VLOOKUP(B218,'Working BOQ'!A:K,11,0)</f>
        <v>L/s</v>
      </c>
      <c r="C221" s="41"/>
      <c r="D221" s="50"/>
      <c r="E221" s="50"/>
      <c r="F221" s="50"/>
      <c r="G221" s="50"/>
      <c r="H221" s="50"/>
      <c r="I221" s="50"/>
      <c r="J221" s="50"/>
      <c r="K221" s="41"/>
      <c r="L221" s="50"/>
      <c r="M221" s="50"/>
      <c r="N221" s="50"/>
      <c r="O221" s="50"/>
      <c r="P221" s="50"/>
      <c r="Q221" s="50"/>
      <c r="R221" s="50"/>
    </row>
    <row r="222" spans="1:18" s="6" customFormat="1" x14ac:dyDescent="0.35">
      <c r="A222" s="24" t="s">
        <v>110</v>
      </c>
      <c r="B222" s="5" t="s">
        <v>112</v>
      </c>
      <c r="C222" s="5" t="s">
        <v>111</v>
      </c>
      <c r="D222" s="16" t="s">
        <v>1200</v>
      </c>
      <c r="E222" s="16" t="s">
        <v>1200</v>
      </c>
      <c r="F222" s="16" t="s">
        <v>1452</v>
      </c>
      <c r="G222" s="16" t="s">
        <v>1453</v>
      </c>
      <c r="H222" s="16" t="s">
        <v>1454</v>
      </c>
      <c r="I222" s="16" t="s">
        <v>1455</v>
      </c>
      <c r="J222" s="16" t="s">
        <v>3</v>
      </c>
      <c r="K222" s="5" t="s">
        <v>1</v>
      </c>
      <c r="L222" s="16" t="s">
        <v>1456</v>
      </c>
      <c r="M222" s="16" t="s">
        <v>1457</v>
      </c>
      <c r="N222" s="16" t="s">
        <v>1458</v>
      </c>
      <c r="O222" s="16" t="s">
        <v>1459</v>
      </c>
      <c r="P222" s="16" t="s">
        <v>1122</v>
      </c>
      <c r="Q222" s="16" t="s">
        <v>1486</v>
      </c>
      <c r="R222" s="16" t="s">
        <v>1498</v>
      </c>
    </row>
    <row r="223" spans="1:18" x14ac:dyDescent="0.35">
      <c r="A223" s="27"/>
      <c r="B223" s="41"/>
      <c r="C223" s="41"/>
      <c r="D223" s="50"/>
      <c r="E223" s="50"/>
      <c r="F223" s="50"/>
      <c r="G223" s="50"/>
      <c r="H223" s="50"/>
      <c r="I223" s="50"/>
      <c r="J223" s="50"/>
      <c r="K223" s="41"/>
      <c r="L223" s="50"/>
      <c r="M223" s="50"/>
      <c r="N223" s="50"/>
      <c r="O223" s="50"/>
      <c r="P223" s="50"/>
      <c r="Q223" s="50"/>
      <c r="R223" s="50"/>
    </row>
    <row r="224" spans="1:18" x14ac:dyDescent="0.35">
      <c r="A224" s="26">
        <v>1</v>
      </c>
      <c r="B224" s="8" t="s">
        <v>1496</v>
      </c>
      <c r="C224" s="41" t="str">
        <f>VLOOKUP(B224,'Project Resource Master'!C:N,5,0)</f>
        <v>Carpenter</v>
      </c>
      <c r="D224" s="50">
        <v>10</v>
      </c>
      <c r="E224" s="50">
        <v>1</v>
      </c>
      <c r="F224" s="50">
        <v>1</v>
      </c>
      <c r="G224" s="50">
        <v>1</v>
      </c>
      <c r="H224" s="50">
        <v>1</v>
      </c>
      <c r="I224" s="50">
        <v>1</v>
      </c>
      <c r="J224" s="50">
        <f>PRODUCT(D224:I224)</f>
        <v>10</v>
      </c>
      <c r="K224" s="41" t="str">
        <f>VLOOKUP(B224,'Project Resource Master'!C:N,6,0)</f>
        <v>hr</v>
      </c>
      <c r="L224" s="50">
        <f>VLOOKUP(B224,'Project Resource Master'!C:N,11,0)</f>
        <v>0.2</v>
      </c>
      <c r="M224" s="50">
        <f>J224*L224</f>
        <v>2</v>
      </c>
      <c r="N224" s="50">
        <f>+J224+M224</f>
        <v>12</v>
      </c>
      <c r="O224" s="50">
        <f>VLOOKUP(B224,'Project Resource Master'!C:N,12,0)</f>
        <v>100</v>
      </c>
      <c r="P224" s="50">
        <f>+O224*N224</f>
        <v>1200</v>
      </c>
      <c r="Q224" s="50">
        <f>+N224*B220</f>
        <v>12</v>
      </c>
      <c r="R224" s="50">
        <f>Q224*O224</f>
        <v>1200</v>
      </c>
    </row>
    <row r="225" spans="1:18" x14ac:dyDescent="0.35">
      <c r="A225" s="26">
        <v>2</v>
      </c>
      <c r="B225" s="8" t="s">
        <v>1497</v>
      </c>
      <c r="C225" s="41" t="str">
        <f>VLOOKUP(B225,'Project Resource Master'!C:N,5,0)</f>
        <v>Helper</v>
      </c>
      <c r="D225" s="50">
        <v>10</v>
      </c>
      <c r="E225" s="50">
        <v>1</v>
      </c>
      <c r="F225" s="50">
        <v>1</v>
      </c>
      <c r="G225" s="50">
        <v>1</v>
      </c>
      <c r="H225" s="50">
        <v>1</v>
      </c>
      <c r="I225" s="50">
        <v>1</v>
      </c>
      <c r="J225" s="50">
        <f>PRODUCT(D225:I225)</f>
        <v>10</v>
      </c>
      <c r="K225" s="41" t="str">
        <f>VLOOKUP(B225,'Project Resource Master'!C:N,6,0)</f>
        <v>hr</v>
      </c>
      <c r="L225" s="50">
        <f>VLOOKUP(B225,'Project Resource Master'!C:N,11,0)</f>
        <v>0.2</v>
      </c>
      <c r="M225" s="50">
        <f>J225*L225</f>
        <v>2</v>
      </c>
      <c r="N225" s="50">
        <f>+J225+M225</f>
        <v>12</v>
      </c>
      <c r="O225" s="50">
        <f>VLOOKUP(B225,'Project Resource Master'!C:N,12,0)</f>
        <v>100</v>
      </c>
      <c r="P225" s="50">
        <f>+O225*N225</f>
        <v>1200</v>
      </c>
      <c r="Q225" s="50">
        <f>+N225*B220</f>
        <v>12</v>
      </c>
      <c r="R225" s="50">
        <f>Q225*O225</f>
        <v>1200</v>
      </c>
    </row>
    <row r="226" spans="1:18" x14ac:dyDescent="0.35">
      <c r="A226" s="27"/>
      <c r="B226" s="41"/>
      <c r="C226" s="41"/>
      <c r="D226" s="50"/>
      <c r="E226" s="50"/>
      <c r="F226" s="50"/>
      <c r="G226" s="50"/>
      <c r="H226" s="50"/>
      <c r="I226" s="50"/>
      <c r="J226" s="50"/>
      <c r="K226" s="41"/>
      <c r="L226" s="50"/>
      <c r="M226" s="50"/>
      <c r="N226" s="50"/>
      <c r="O226" s="50"/>
      <c r="P226" s="50"/>
      <c r="Q226" s="50"/>
      <c r="R226" s="50"/>
    </row>
    <row r="227" spans="1:18" s="14" customFormat="1" x14ac:dyDescent="0.35">
      <c r="A227" s="29" t="str">
        <f>B218</f>
        <v>2k</v>
      </c>
      <c r="B227" s="7"/>
      <c r="C227" s="7" t="s">
        <v>1485</v>
      </c>
      <c r="D227" s="51"/>
      <c r="E227" s="51"/>
      <c r="F227" s="51"/>
      <c r="G227" s="51"/>
      <c r="H227" s="51"/>
      <c r="I227" s="51"/>
      <c r="J227" s="51"/>
      <c r="K227" s="7"/>
      <c r="L227" s="51"/>
      <c r="M227" s="51"/>
      <c r="N227" s="51"/>
      <c r="O227" s="51"/>
      <c r="P227" s="51">
        <f>SUM(P223:P226)</f>
        <v>2400</v>
      </c>
      <c r="Q227" s="51"/>
      <c r="R227" s="51">
        <f>SUM(R223:R226)</f>
        <v>2400</v>
      </c>
    </row>
    <row r="230" spans="1:18" x14ac:dyDescent="0.35">
      <c r="A230" s="29" t="s">
        <v>1348</v>
      </c>
      <c r="B230" s="49" t="s">
        <v>1369</v>
      </c>
      <c r="C230" s="41"/>
      <c r="D230" s="50"/>
      <c r="E230" s="50"/>
      <c r="F230" s="50"/>
      <c r="G230" s="50"/>
      <c r="H230" s="50"/>
      <c r="I230" s="50"/>
      <c r="J230" s="50"/>
      <c r="K230" s="41"/>
      <c r="L230" s="50"/>
      <c r="M230" s="50"/>
      <c r="N230" s="50"/>
      <c r="O230" s="50"/>
      <c r="P230" s="50"/>
      <c r="Q230" s="50"/>
      <c r="R230" s="50"/>
    </row>
    <row r="231" spans="1:18" ht="29" x14ac:dyDescent="0.35">
      <c r="A231" s="29" t="s">
        <v>1450</v>
      </c>
      <c r="B231" s="49" t="str">
        <f>VLOOKUP(B230,'Working BOQ'!A:K,9,0)</f>
        <v>Removal of CCTV</v>
      </c>
      <c r="C231" s="41"/>
      <c r="D231" s="50"/>
      <c r="E231" s="50"/>
      <c r="F231" s="50"/>
      <c r="G231" s="50"/>
      <c r="H231" s="50"/>
      <c r="I231" s="50"/>
      <c r="J231" s="50"/>
      <c r="K231" s="41"/>
      <c r="L231" s="50"/>
      <c r="M231" s="50"/>
      <c r="N231" s="50"/>
      <c r="O231" s="50"/>
      <c r="P231" s="50"/>
      <c r="Q231" s="50"/>
      <c r="R231" s="50"/>
    </row>
    <row r="232" spans="1:18" x14ac:dyDescent="0.35">
      <c r="A232" s="29" t="s">
        <v>1451</v>
      </c>
      <c r="B232" s="49">
        <f>VLOOKUP(B230,'Working BOQ'!A:N,14,0)</f>
        <v>1</v>
      </c>
      <c r="C232" s="41"/>
      <c r="D232" s="50"/>
      <c r="E232" s="50"/>
      <c r="F232" s="50"/>
      <c r="G232" s="50"/>
      <c r="H232" s="50"/>
      <c r="I232" s="50"/>
      <c r="J232" s="50"/>
      <c r="K232" s="41"/>
      <c r="L232" s="50"/>
      <c r="M232" s="50"/>
      <c r="N232" s="50"/>
      <c r="O232" s="50"/>
      <c r="P232" s="50"/>
      <c r="Q232" s="50"/>
      <c r="R232" s="50"/>
    </row>
    <row r="233" spans="1:18" x14ac:dyDescent="0.35">
      <c r="A233" s="29" t="s">
        <v>1</v>
      </c>
      <c r="B233" s="49" t="str">
        <f>VLOOKUP(B230,'Working BOQ'!A:K,11,0)</f>
        <v>L/s</v>
      </c>
      <c r="C233" s="41"/>
      <c r="D233" s="50"/>
      <c r="E233" s="50"/>
      <c r="F233" s="50"/>
      <c r="G233" s="50"/>
      <c r="H233" s="50"/>
      <c r="I233" s="50"/>
      <c r="J233" s="50"/>
      <c r="K233" s="41"/>
      <c r="L233" s="50"/>
      <c r="M233" s="50"/>
      <c r="N233" s="50"/>
      <c r="O233" s="50"/>
      <c r="P233" s="50"/>
      <c r="Q233" s="50"/>
      <c r="R233" s="50"/>
    </row>
    <row r="234" spans="1:18" s="6" customFormat="1" x14ac:dyDescent="0.35">
      <c r="A234" s="24" t="s">
        <v>110</v>
      </c>
      <c r="B234" s="5" t="s">
        <v>112</v>
      </c>
      <c r="C234" s="5" t="s">
        <v>111</v>
      </c>
      <c r="D234" s="16" t="s">
        <v>1200</v>
      </c>
      <c r="E234" s="16" t="s">
        <v>1200</v>
      </c>
      <c r="F234" s="16" t="s">
        <v>1452</v>
      </c>
      <c r="G234" s="16" t="s">
        <v>1453</v>
      </c>
      <c r="H234" s="16" t="s">
        <v>1454</v>
      </c>
      <c r="I234" s="16" t="s">
        <v>1455</v>
      </c>
      <c r="J234" s="16" t="s">
        <v>3</v>
      </c>
      <c r="K234" s="5" t="s">
        <v>1</v>
      </c>
      <c r="L234" s="16" t="s">
        <v>1456</v>
      </c>
      <c r="M234" s="16" t="s">
        <v>1457</v>
      </c>
      <c r="N234" s="16" t="s">
        <v>1458</v>
      </c>
      <c r="O234" s="16" t="s">
        <v>1459</v>
      </c>
      <c r="P234" s="16" t="s">
        <v>1122</v>
      </c>
      <c r="Q234" s="16" t="s">
        <v>1486</v>
      </c>
      <c r="R234" s="16" t="s">
        <v>1498</v>
      </c>
    </row>
    <row r="235" spans="1:18" x14ac:dyDescent="0.35">
      <c r="A235" s="27"/>
      <c r="B235" s="41"/>
      <c r="C235" s="41"/>
      <c r="D235" s="50"/>
      <c r="E235" s="50"/>
      <c r="F235" s="50"/>
      <c r="G235" s="50"/>
      <c r="H235" s="50"/>
      <c r="I235" s="50"/>
      <c r="J235" s="50"/>
      <c r="K235" s="41"/>
      <c r="L235" s="50"/>
      <c r="M235" s="50"/>
      <c r="N235" s="50"/>
      <c r="O235" s="50"/>
      <c r="P235" s="50"/>
      <c r="Q235" s="50"/>
      <c r="R235" s="50"/>
    </row>
    <row r="236" spans="1:18" x14ac:dyDescent="0.35">
      <c r="A236" s="26">
        <v>1</v>
      </c>
      <c r="B236" s="8" t="s">
        <v>1495</v>
      </c>
      <c r="C236" s="41" t="str">
        <f>VLOOKUP(B236,'Project Resource Master'!C:N,5,0)</f>
        <v>IT Technician</v>
      </c>
      <c r="D236" s="50">
        <v>10</v>
      </c>
      <c r="E236" s="50">
        <v>1</v>
      </c>
      <c r="F236" s="50">
        <v>1</v>
      </c>
      <c r="G236" s="50">
        <v>1</v>
      </c>
      <c r="H236" s="50">
        <v>1</v>
      </c>
      <c r="I236" s="50">
        <v>1</v>
      </c>
      <c r="J236" s="50">
        <f>PRODUCT(D236:I236)</f>
        <v>10</v>
      </c>
      <c r="K236" s="41" t="str">
        <f>VLOOKUP(B236,'Project Resource Master'!C:N,6,0)</f>
        <v>hr</v>
      </c>
      <c r="L236" s="50">
        <f>VLOOKUP(B236,'Project Resource Master'!C:N,11,0)</f>
        <v>0.05</v>
      </c>
      <c r="M236" s="50">
        <f>J236*L236</f>
        <v>0.5</v>
      </c>
      <c r="N236" s="50">
        <f>+J236+M236</f>
        <v>10.5</v>
      </c>
      <c r="O236" s="50">
        <f>VLOOKUP(B236,'Project Resource Master'!C:N,12,0)</f>
        <v>50</v>
      </c>
      <c r="P236" s="50">
        <f>+O236*N236</f>
        <v>525</v>
      </c>
      <c r="Q236" s="50">
        <f>+N236*B232</f>
        <v>10.5</v>
      </c>
      <c r="R236" s="50">
        <f>Q236*O236</f>
        <v>525</v>
      </c>
    </row>
    <row r="237" spans="1:18" x14ac:dyDescent="0.35">
      <c r="A237" s="26">
        <v>2</v>
      </c>
      <c r="B237" s="8" t="s">
        <v>1492</v>
      </c>
      <c r="C237" s="41" t="str">
        <f>VLOOKUP(B237,'Project Resource Master'!C:N,5,0)</f>
        <v>Helper</v>
      </c>
      <c r="D237" s="50">
        <v>10</v>
      </c>
      <c r="E237" s="50">
        <v>1</v>
      </c>
      <c r="F237" s="50">
        <v>1</v>
      </c>
      <c r="G237" s="50">
        <v>1</v>
      </c>
      <c r="H237" s="50">
        <v>1</v>
      </c>
      <c r="I237" s="50">
        <v>1</v>
      </c>
      <c r="J237" s="50">
        <f>PRODUCT(D237:I237)</f>
        <v>10</v>
      </c>
      <c r="K237" s="41" t="str">
        <f>VLOOKUP(B237,'Project Resource Master'!C:N,6,0)</f>
        <v>hr</v>
      </c>
      <c r="L237" s="50">
        <f>VLOOKUP(B237,'Project Resource Master'!C:N,11,0)</f>
        <v>0.1</v>
      </c>
      <c r="M237" s="50">
        <f>J237*L237</f>
        <v>1</v>
      </c>
      <c r="N237" s="50">
        <f>+J237+M237</f>
        <v>11</v>
      </c>
      <c r="O237" s="50">
        <f>VLOOKUP(B237,'Project Resource Master'!C:N,12,0)</f>
        <v>50</v>
      </c>
      <c r="P237" s="50">
        <f>+O237*N237</f>
        <v>550</v>
      </c>
      <c r="Q237" s="50">
        <f>+N237*B232</f>
        <v>11</v>
      </c>
      <c r="R237" s="50">
        <f>Q237*O237</f>
        <v>550</v>
      </c>
    </row>
    <row r="238" spans="1:18" x14ac:dyDescent="0.35">
      <c r="A238" s="27"/>
      <c r="B238" s="41"/>
      <c r="C238" s="41"/>
      <c r="D238" s="50"/>
      <c r="E238" s="50"/>
      <c r="F238" s="50"/>
      <c r="G238" s="50"/>
      <c r="H238" s="50"/>
      <c r="I238" s="50"/>
      <c r="J238" s="50"/>
      <c r="K238" s="41"/>
      <c r="L238" s="50"/>
      <c r="M238" s="50"/>
      <c r="N238" s="50"/>
      <c r="O238" s="50"/>
      <c r="P238" s="50"/>
      <c r="Q238" s="50"/>
      <c r="R238" s="50"/>
    </row>
    <row r="239" spans="1:18" s="14" customFormat="1" x14ac:dyDescent="0.35">
      <c r="A239" s="29" t="str">
        <f>B230</f>
        <v>2l</v>
      </c>
      <c r="B239" s="7"/>
      <c r="C239" s="7" t="s">
        <v>1485</v>
      </c>
      <c r="D239" s="51"/>
      <c r="E239" s="51"/>
      <c r="F239" s="51"/>
      <c r="G239" s="51"/>
      <c r="H239" s="51"/>
      <c r="I239" s="51"/>
      <c r="J239" s="51"/>
      <c r="K239" s="7"/>
      <c r="L239" s="51"/>
      <c r="M239" s="51"/>
      <c r="N239" s="51"/>
      <c r="O239" s="51"/>
      <c r="P239" s="51">
        <f>SUM(P235:P238)</f>
        <v>1075</v>
      </c>
      <c r="Q239" s="51"/>
      <c r="R239" s="51">
        <f>SUM(R235:R238)</f>
        <v>1075</v>
      </c>
    </row>
    <row r="242" spans="1:18" x14ac:dyDescent="0.35">
      <c r="A242" s="29" t="s">
        <v>1348</v>
      </c>
      <c r="B242" s="49" t="s">
        <v>1370</v>
      </c>
      <c r="C242" s="41"/>
      <c r="D242" s="50"/>
      <c r="E242" s="50"/>
      <c r="F242" s="50"/>
      <c r="G242" s="50"/>
      <c r="H242" s="50"/>
      <c r="I242" s="50"/>
      <c r="J242" s="50"/>
      <c r="K242" s="41"/>
      <c r="L242" s="50"/>
      <c r="M242" s="50"/>
      <c r="N242" s="50"/>
      <c r="O242" s="50"/>
      <c r="P242" s="50"/>
      <c r="Q242" s="50"/>
      <c r="R242" s="50"/>
    </row>
    <row r="243" spans="1:18" ht="29" x14ac:dyDescent="0.35">
      <c r="A243" s="29" t="s">
        <v>1450</v>
      </c>
      <c r="B243" s="49" t="str">
        <f>VLOOKUP(B242,'Working BOQ'!A:K,9,0)</f>
        <v>Removal of Flooring</v>
      </c>
      <c r="C243" s="41"/>
      <c r="D243" s="50"/>
      <c r="E243" s="50"/>
      <c r="F243" s="50"/>
      <c r="G243" s="50"/>
      <c r="H243" s="50"/>
      <c r="I243" s="50"/>
      <c r="J243" s="50"/>
      <c r="K243" s="41"/>
      <c r="L243" s="50"/>
      <c r="M243" s="50"/>
      <c r="N243" s="50"/>
      <c r="O243" s="50"/>
      <c r="P243" s="50"/>
      <c r="Q243" s="50"/>
      <c r="R243" s="50"/>
    </row>
    <row r="244" spans="1:18" x14ac:dyDescent="0.35">
      <c r="A244" s="29" t="s">
        <v>1451</v>
      </c>
      <c r="B244" s="49">
        <f>VLOOKUP(B242,'Working BOQ'!A:N,14,0)</f>
        <v>1</v>
      </c>
      <c r="C244" s="41"/>
      <c r="D244" s="50"/>
      <c r="E244" s="50"/>
      <c r="F244" s="50"/>
      <c r="G244" s="50"/>
      <c r="H244" s="50"/>
      <c r="I244" s="50"/>
      <c r="J244" s="50"/>
      <c r="K244" s="41"/>
      <c r="L244" s="50"/>
      <c r="M244" s="50"/>
      <c r="N244" s="50"/>
      <c r="O244" s="50"/>
      <c r="P244" s="50"/>
      <c r="Q244" s="50"/>
      <c r="R244" s="50"/>
    </row>
    <row r="245" spans="1:18" x14ac:dyDescent="0.35">
      <c r="A245" s="29" t="s">
        <v>1</v>
      </c>
      <c r="B245" s="49" t="str">
        <f>VLOOKUP(B242,'Working BOQ'!A:K,11,0)</f>
        <v>L/s</v>
      </c>
      <c r="C245" s="41"/>
      <c r="D245" s="50"/>
      <c r="E245" s="50"/>
      <c r="F245" s="50"/>
      <c r="G245" s="50"/>
      <c r="H245" s="50"/>
      <c r="I245" s="50"/>
      <c r="J245" s="50"/>
      <c r="K245" s="41"/>
      <c r="L245" s="50"/>
      <c r="M245" s="50"/>
      <c r="N245" s="50"/>
      <c r="O245" s="50"/>
      <c r="P245" s="50"/>
      <c r="Q245" s="50"/>
      <c r="R245" s="50"/>
    </row>
    <row r="246" spans="1:18" s="6" customFormat="1" x14ac:dyDescent="0.35">
      <c r="A246" s="24" t="s">
        <v>110</v>
      </c>
      <c r="B246" s="5" t="s">
        <v>112</v>
      </c>
      <c r="C246" s="5" t="s">
        <v>111</v>
      </c>
      <c r="D246" s="16" t="s">
        <v>1200</v>
      </c>
      <c r="E246" s="16" t="s">
        <v>1200</v>
      </c>
      <c r="F246" s="16" t="s">
        <v>1452</v>
      </c>
      <c r="G246" s="16" t="s">
        <v>1453</v>
      </c>
      <c r="H246" s="16" t="s">
        <v>1454</v>
      </c>
      <c r="I246" s="16" t="s">
        <v>1455</v>
      </c>
      <c r="J246" s="16" t="s">
        <v>3</v>
      </c>
      <c r="K246" s="5" t="s">
        <v>1</v>
      </c>
      <c r="L246" s="16" t="s">
        <v>1456</v>
      </c>
      <c r="M246" s="16" t="s">
        <v>1457</v>
      </c>
      <c r="N246" s="16" t="s">
        <v>1458</v>
      </c>
      <c r="O246" s="16" t="s">
        <v>1459</v>
      </c>
      <c r="P246" s="16" t="s">
        <v>1122</v>
      </c>
      <c r="Q246" s="16" t="s">
        <v>1486</v>
      </c>
      <c r="R246" s="16" t="s">
        <v>1498</v>
      </c>
    </row>
    <row r="247" spans="1:18" x14ac:dyDescent="0.35">
      <c r="A247" s="27"/>
      <c r="B247" s="41"/>
      <c r="C247" s="41"/>
      <c r="D247" s="50"/>
      <c r="E247" s="50"/>
      <c r="F247" s="50"/>
      <c r="G247" s="50"/>
      <c r="H247" s="50"/>
      <c r="I247" s="50"/>
      <c r="J247" s="50"/>
      <c r="K247" s="41"/>
      <c r="L247" s="50"/>
      <c r="M247" s="50"/>
      <c r="N247" s="50"/>
      <c r="O247" s="50"/>
      <c r="P247" s="50"/>
      <c r="Q247" s="50"/>
      <c r="R247" s="50"/>
    </row>
    <row r="248" spans="1:18" x14ac:dyDescent="0.35">
      <c r="A248" s="26">
        <v>1</v>
      </c>
      <c r="B248" s="8" t="s">
        <v>1488</v>
      </c>
      <c r="C248" s="41" t="str">
        <f>VLOOKUP(B248,'Project Resource Master'!C:N,5,0)</f>
        <v>Brick Mason</v>
      </c>
      <c r="D248" s="50">
        <v>10</v>
      </c>
      <c r="E248" s="50">
        <v>1</v>
      </c>
      <c r="F248" s="50">
        <v>1</v>
      </c>
      <c r="G248" s="50">
        <v>1</v>
      </c>
      <c r="H248" s="50">
        <v>1</v>
      </c>
      <c r="I248" s="50">
        <v>1</v>
      </c>
      <c r="J248" s="50">
        <f>PRODUCT(D248:I248)</f>
        <v>10</v>
      </c>
      <c r="K248" s="41" t="str">
        <f>VLOOKUP(B248,'Project Resource Master'!C:N,6,0)</f>
        <v>hr</v>
      </c>
      <c r="L248" s="50">
        <f>VLOOKUP(B248,'Project Resource Master'!C:N,11,0)</f>
        <v>0.1</v>
      </c>
      <c r="M248" s="50">
        <f>J248*L248</f>
        <v>1</v>
      </c>
      <c r="N248" s="50">
        <f>+J248+M248</f>
        <v>11</v>
      </c>
      <c r="O248" s="50">
        <f>VLOOKUP(B248,'Project Resource Master'!C:N,12,0)</f>
        <v>50</v>
      </c>
      <c r="P248" s="50">
        <f>+O248*N248</f>
        <v>550</v>
      </c>
      <c r="Q248" s="50">
        <f>+N248*B244</f>
        <v>11</v>
      </c>
      <c r="R248" s="50">
        <f>Q248*O248</f>
        <v>550</v>
      </c>
    </row>
    <row r="249" spans="1:18" x14ac:dyDescent="0.35">
      <c r="A249" s="26">
        <v>2</v>
      </c>
      <c r="B249" s="8" t="s">
        <v>1491</v>
      </c>
      <c r="C249" s="41" t="str">
        <f>VLOOKUP(B249,'Project Resource Master'!C:N,5,0)</f>
        <v>Helper</v>
      </c>
      <c r="D249" s="50">
        <v>10</v>
      </c>
      <c r="E249" s="50">
        <v>1</v>
      </c>
      <c r="F249" s="50">
        <v>1</v>
      </c>
      <c r="G249" s="50">
        <v>1</v>
      </c>
      <c r="H249" s="50">
        <v>1</v>
      </c>
      <c r="I249" s="50">
        <v>1</v>
      </c>
      <c r="J249" s="50">
        <f>PRODUCT(D249:I249)</f>
        <v>10</v>
      </c>
      <c r="K249" s="41" t="str">
        <f>VLOOKUP(B249,'Project Resource Master'!C:N,6,0)</f>
        <v>hr</v>
      </c>
      <c r="L249" s="50">
        <f>VLOOKUP(B249,'Project Resource Master'!C:N,11,0)</f>
        <v>0.05</v>
      </c>
      <c r="M249" s="50">
        <f>J249*L249</f>
        <v>0.5</v>
      </c>
      <c r="N249" s="50">
        <f>+J249+M249</f>
        <v>10.5</v>
      </c>
      <c r="O249" s="50">
        <f>VLOOKUP(B249,'Project Resource Master'!C:N,12,0)</f>
        <v>50</v>
      </c>
      <c r="P249" s="50">
        <f>+O249*N249</f>
        <v>525</v>
      </c>
      <c r="Q249" s="50">
        <f>+N249*B244</f>
        <v>10.5</v>
      </c>
      <c r="R249" s="50">
        <f>Q249*O249</f>
        <v>525</v>
      </c>
    </row>
    <row r="250" spans="1:18" x14ac:dyDescent="0.35">
      <c r="A250" s="27"/>
      <c r="B250" s="41"/>
      <c r="C250" s="41"/>
      <c r="D250" s="50"/>
      <c r="E250" s="50"/>
      <c r="F250" s="50"/>
      <c r="G250" s="50"/>
      <c r="H250" s="50"/>
      <c r="I250" s="50"/>
      <c r="J250" s="50"/>
      <c r="K250" s="41"/>
      <c r="L250" s="50"/>
      <c r="M250" s="50"/>
      <c r="N250" s="50"/>
      <c r="O250" s="50"/>
      <c r="P250" s="50"/>
      <c r="Q250" s="50"/>
      <c r="R250" s="50"/>
    </row>
    <row r="251" spans="1:18" s="14" customFormat="1" x14ac:dyDescent="0.35">
      <c r="A251" s="29" t="str">
        <f>B242</f>
        <v>2m</v>
      </c>
      <c r="B251" s="7"/>
      <c r="C251" s="7" t="s">
        <v>1485</v>
      </c>
      <c r="D251" s="51"/>
      <c r="E251" s="51"/>
      <c r="F251" s="51"/>
      <c r="G251" s="51"/>
      <c r="H251" s="51"/>
      <c r="I251" s="51"/>
      <c r="J251" s="51"/>
      <c r="K251" s="7"/>
      <c r="L251" s="51"/>
      <c r="M251" s="51"/>
      <c r="N251" s="51"/>
      <c r="O251" s="51"/>
      <c r="P251" s="51">
        <f>SUM(P247:P250)</f>
        <v>1075</v>
      </c>
      <c r="Q251" s="51"/>
      <c r="R251" s="51">
        <f>SUM(R247:R250)</f>
        <v>1075</v>
      </c>
    </row>
    <row r="254" spans="1:18" x14ac:dyDescent="0.35">
      <c r="A254" s="29" t="s">
        <v>1348</v>
      </c>
      <c r="B254" s="49" t="s">
        <v>1371</v>
      </c>
      <c r="C254" s="41"/>
      <c r="D254" s="50"/>
      <c r="E254" s="50"/>
      <c r="F254" s="50"/>
      <c r="G254" s="50"/>
      <c r="H254" s="50"/>
      <c r="I254" s="50"/>
      <c r="J254" s="50"/>
      <c r="K254" s="41"/>
      <c r="L254" s="50"/>
      <c r="M254" s="50"/>
      <c r="N254" s="50"/>
      <c r="O254" s="50"/>
      <c r="P254" s="50"/>
      <c r="Q254" s="50"/>
      <c r="R254" s="50"/>
    </row>
    <row r="255" spans="1:18" ht="29" x14ac:dyDescent="0.35">
      <c r="A255" s="29" t="s">
        <v>1450</v>
      </c>
      <c r="B255" s="49" t="str">
        <f>VLOOKUP(B254,'Working BOQ'!A:K,9,0)</f>
        <v>Removal of Ceiling</v>
      </c>
      <c r="C255" s="41"/>
      <c r="D255" s="50"/>
      <c r="E255" s="50"/>
      <c r="F255" s="50"/>
      <c r="G255" s="50"/>
      <c r="H255" s="50"/>
      <c r="I255" s="50"/>
      <c r="J255" s="50"/>
      <c r="K255" s="41"/>
      <c r="L255" s="50"/>
      <c r="M255" s="50"/>
      <c r="N255" s="50"/>
      <c r="O255" s="50"/>
      <c r="P255" s="50"/>
      <c r="Q255" s="50"/>
      <c r="R255" s="50"/>
    </row>
    <row r="256" spans="1:18" x14ac:dyDescent="0.35">
      <c r="A256" s="29" t="s">
        <v>1451</v>
      </c>
      <c r="B256" s="49">
        <f>VLOOKUP(B254,'Working BOQ'!A:N,14,0)</f>
        <v>1</v>
      </c>
      <c r="C256" s="41"/>
      <c r="D256" s="50"/>
      <c r="E256" s="50"/>
      <c r="F256" s="50"/>
      <c r="G256" s="50"/>
      <c r="H256" s="50"/>
      <c r="I256" s="50"/>
      <c r="J256" s="50"/>
      <c r="K256" s="41"/>
      <c r="L256" s="50"/>
      <c r="M256" s="50"/>
      <c r="N256" s="50"/>
      <c r="O256" s="50"/>
      <c r="P256" s="50"/>
      <c r="Q256" s="50"/>
      <c r="R256" s="50"/>
    </row>
    <row r="257" spans="1:18" x14ac:dyDescent="0.35">
      <c r="A257" s="29" t="s">
        <v>1</v>
      </c>
      <c r="B257" s="49" t="str">
        <f>VLOOKUP(B254,'Working BOQ'!A:K,11,0)</f>
        <v>L/s</v>
      </c>
      <c r="C257" s="41"/>
      <c r="D257" s="50"/>
      <c r="E257" s="50"/>
      <c r="F257" s="50"/>
      <c r="G257" s="50"/>
      <c r="H257" s="50"/>
      <c r="I257" s="50"/>
      <c r="J257" s="50"/>
      <c r="K257" s="41"/>
      <c r="L257" s="50"/>
      <c r="M257" s="50"/>
      <c r="N257" s="50"/>
      <c r="O257" s="50"/>
      <c r="P257" s="50"/>
      <c r="Q257" s="50"/>
      <c r="R257" s="50"/>
    </row>
    <row r="258" spans="1:18" s="6" customFormat="1" x14ac:dyDescent="0.35">
      <c r="A258" s="24" t="s">
        <v>110</v>
      </c>
      <c r="B258" s="5" t="s">
        <v>112</v>
      </c>
      <c r="C258" s="5" t="s">
        <v>111</v>
      </c>
      <c r="D258" s="16" t="s">
        <v>1200</v>
      </c>
      <c r="E258" s="16" t="s">
        <v>1200</v>
      </c>
      <c r="F258" s="16" t="s">
        <v>1452</v>
      </c>
      <c r="G258" s="16" t="s">
        <v>1453</v>
      </c>
      <c r="H258" s="16" t="s">
        <v>1454</v>
      </c>
      <c r="I258" s="16" t="s">
        <v>1455</v>
      </c>
      <c r="J258" s="16" t="s">
        <v>3</v>
      </c>
      <c r="K258" s="5" t="s">
        <v>1</v>
      </c>
      <c r="L258" s="16" t="s">
        <v>1456</v>
      </c>
      <c r="M258" s="16" t="s">
        <v>1457</v>
      </c>
      <c r="N258" s="16" t="s">
        <v>1458</v>
      </c>
      <c r="O258" s="16" t="s">
        <v>1459</v>
      </c>
      <c r="P258" s="16" t="s">
        <v>1122</v>
      </c>
      <c r="Q258" s="16" t="s">
        <v>1486</v>
      </c>
      <c r="R258" s="16" t="s">
        <v>1498</v>
      </c>
    </row>
    <row r="259" spans="1:18" x14ac:dyDescent="0.35">
      <c r="A259" s="27"/>
      <c r="B259" s="41"/>
      <c r="C259" s="41"/>
      <c r="D259" s="50"/>
      <c r="E259" s="50"/>
      <c r="F259" s="50"/>
      <c r="G259" s="50"/>
      <c r="H259" s="50"/>
      <c r="I259" s="50"/>
      <c r="J259" s="50"/>
      <c r="K259" s="41"/>
      <c r="L259" s="50"/>
      <c r="M259" s="50"/>
      <c r="N259" s="50"/>
      <c r="O259" s="50"/>
      <c r="P259" s="50"/>
      <c r="Q259" s="50"/>
      <c r="R259" s="50"/>
    </row>
    <row r="260" spans="1:18" x14ac:dyDescent="0.35">
      <c r="A260" s="26">
        <v>1</v>
      </c>
      <c r="B260" s="8" t="s">
        <v>1496</v>
      </c>
      <c r="C260" s="41" t="str">
        <f>VLOOKUP(B260,'Project Resource Master'!C:N,5,0)</f>
        <v>Carpenter</v>
      </c>
      <c r="D260" s="50">
        <v>10</v>
      </c>
      <c r="E260" s="50">
        <v>1</v>
      </c>
      <c r="F260" s="50">
        <v>1</v>
      </c>
      <c r="G260" s="50">
        <v>1</v>
      </c>
      <c r="H260" s="50">
        <v>1</v>
      </c>
      <c r="I260" s="50">
        <v>1</v>
      </c>
      <c r="J260" s="50">
        <f>PRODUCT(D260:I260)</f>
        <v>10</v>
      </c>
      <c r="K260" s="41" t="str">
        <f>VLOOKUP(B260,'Project Resource Master'!C:N,6,0)</f>
        <v>hr</v>
      </c>
      <c r="L260" s="50">
        <f>VLOOKUP(B260,'Project Resource Master'!C:N,11,0)</f>
        <v>0.2</v>
      </c>
      <c r="M260" s="50">
        <f>J260*L260</f>
        <v>2</v>
      </c>
      <c r="N260" s="50">
        <f>+J260+M260</f>
        <v>12</v>
      </c>
      <c r="O260" s="50">
        <f>VLOOKUP(B260,'Project Resource Master'!C:N,12,0)</f>
        <v>100</v>
      </c>
      <c r="P260" s="50">
        <f>+O260*N260</f>
        <v>1200</v>
      </c>
      <c r="Q260" s="50">
        <f>+N260*B256</f>
        <v>12</v>
      </c>
      <c r="R260" s="50">
        <f>Q260*O260</f>
        <v>1200</v>
      </c>
    </row>
    <row r="261" spans="1:18" x14ac:dyDescent="0.35">
      <c r="A261" s="26">
        <v>2</v>
      </c>
      <c r="B261" s="8" t="s">
        <v>1497</v>
      </c>
      <c r="C261" s="41" t="str">
        <f>VLOOKUP(B261,'Project Resource Master'!C:N,5,0)</f>
        <v>Helper</v>
      </c>
      <c r="D261" s="50">
        <v>10</v>
      </c>
      <c r="E261" s="50">
        <v>1</v>
      </c>
      <c r="F261" s="50">
        <v>1</v>
      </c>
      <c r="G261" s="50">
        <v>1</v>
      </c>
      <c r="H261" s="50">
        <v>1</v>
      </c>
      <c r="I261" s="50">
        <v>1</v>
      </c>
      <c r="J261" s="50">
        <f>PRODUCT(D261:I261)</f>
        <v>10</v>
      </c>
      <c r="K261" s="41" t="str">
        <f>VLOOKUP(B261,'Project Resource Master'!C:N,6,0)</f>
        <v>hr</v>
      </c>
      <c r="L261" s="50">
        <f>VLOOKUP(B261,'Project Resource Master'!C:N,11,0)</f>
        <v>0.2</v>
      </c>
      <c r="M261" s="50">
        <f>J261*L261</f>
        <v>2</v>
      </c>
      <c r="N261" s="50">
        <f>+J261+M261</f>
        <v>12</v>
      </c>
      <c r="O261" s="50">
        <f>VLOOKUP(B261,'Project Resource Master'!C:N,12,0)</f>
        <v>100</v>
      </c>
      <c r="P261" s="50">
        <f>+O261*N261</f>
        <v>1200</v>
      </c>
      <c r="Q261" s="50">
        <f>+N261*B256</f>
        <v>12</v>
      </c>
      <c r="R261" s="50">
        <f>Q261*O261</f>
        <v>1200</v>
      </c>
    </row>
    <row r="262" spans="1:18" x14ac:dyDescent="0.35">
      <c r="A262" s="27"/>
      <c r="B262" s="41"/>
      <c r="C262" s="41"/>
      <c r="D262" s="50"/>
      <c r="E262" s="50"/>
      <c r="F262" s="50"/>
      <c r="G262" s="50"/>
      <c r="H262" s="50"/>
      <c r="I262" s="50"/>
      <c r="J262" s="50"/>
      <c r="K262" s="41"/>
      <c r="L262" s="50"/>
      <c r="M262" s="50"/>
      <c r="N262" s="50"/>
      <c r="O262" s="50"/>
      <c r="P262" s="50"/>
      <c r="Q262" s="50"/>
      <c r="R262" s="50"/>
    </row>
    <row r="263" spans="1:18" s="14" customFormat="1" x14ac:dyDescent="0.35">
      <c r="A263" s="29" t="str">
        <f>B254</f>
        <v>2n</v>
      </c>
      <c r="B263" s="7"/>
      <c r="C263" s="7" t="s">
        <v>1485</v>
      </c>
      <c r="D263" s="51"/>
      <c r="E263" s="51"/>
      <c r="F263" s="51"/>
      <c r="G263" s="51"/>
      <c r="H263" s="51"/>
      <c r="I263" s="51"/>
      <c r="J263" s="51"/>
      <c r="K263" s="7"/>
      <c r="L263" s="51"/>
      <c r="M263" s="51"/>
      <c r="N263" s="51"/>
      <c r="O263" s="51"/>
      <c r="P263" s="51">
        <f>SUM(P259:P262)</f>
        <v>2400</v>
      </c>
      <c r="Q263" s="51"/>
      <c r="R263" s="51">
        <f>SUM(R259:R262)</f>
        <v>2400</v>
      </c>
    </row>
    <row r="266" spans="1:18" x14ac:dyDescent="0.35">
      <c r="A266" s="29" t="s">
        <v>1348</v>
      </c>
      <c r="B266" s="49" t="s">
        <v>1372</v>
      </c>
      <c r="C266" s="41"/>
      <c r="D266" s="50"/>
      <c r="E266" s="50"/>
      <c r="F266" s="50"/>
      <c r="G266" s="50"/>
      <c r="H266" s="50"/>
      <c r="I266" s="50"/>
      <c r="J266" s="50"/>
      <c r="K266" s="41"/>
      <c r="L266" s="50"/>
      <c r="M266" s="50"/>
      <c r="N266" s="50"/>
      <c r="O266" s="50"/>
      <c r="P266" s="50"/>
      <c r="Q266" s="50"/>
      <c r="R266" s="50"/>
    </row>
    <row r="267" spans="1:18" ht="29" x14ac:dyDescent="0.35">
      <c r="A267" s="29" t="s">
        <v>1450</v>
      </c>
      <c r="B267" s="49" t="str">
        <f>VLOOKUP(B266,'Working BOQ'!A:K,9,0)</f>
        <v>Removal of Signages</v>
      </c>
      <c r="C267" s="41"/>
      <c r="D267" s="50"/>
      <c r="E267" s="50"/>
      <c r="F267" s="50"/>
      <c r="G267" s="50"/>
      <c r="H267" s="50"/>
      <c r="I267" s="50"/>
      <c r="J267" s="50"/>
      <c r="K267" s="41"/>
      <c r="L267" s="50"/>
      <c r="M267" s="50"/>
      <c r="N267" s="50"/>
      <c r="O267" s="50"/>
      <c r="P267" s="50"/>
      <c r="Q267" s="50"/>
      <c r="R267" s="50"/>
    </row>
    <row r="268" spans="1:18" x14ac:dyDescent="0.35">
      <c r="A268" s="29" t="s">
        <v>1451</v>
      </c>
      <c r="B268" s="49">
        <f>VLOOKUP(B266,'Working BOQ'!A:N,14,0)</f>
        <v>1</v>
      </c>
      <c r="C268" s="41"/>
      <c r="D268" s="50"/>
      <c r="E268" s="50"/>
      <c r="F268" s="50"/>
      <c r="G268" s="50"/>
      <c r="H268" s="50"/>
      <c r="I268" s="50"/>
      <c r="J268" s="50"/>
      <c r="K268" s="41"/>
      <c r="L268" s="50"/>
      <c r="M268" s="50"/>
      <c r="N268" s="50"/>
      <c r="O268" s="50"/>
      <c r="P268" s="50"/>
      <c r="Q268" s="50"/>
      <c r="R268" s="50"/>
    </row>
    <row r="269" spans="1:18" x14ac:dyDescent="0.35">
      <c r="A269" s="29" t="s">
        <v>1</v>
      </c>
      <c r="B269" s="49" t="str">
        <f>VLOOKUP(B266,'Working BOQ'!A:K,11,0)</f>
        <v>L/s</v>
      </c>
      <c r="C269" s="41"/>
      <c r="D269" s="50"/>
      <c r="E269" s="50"/>
      <c r="F269" s="50"/>
      <c r="G269" s="50"/>
      <c r="H269" s="50"/>
      <c r="I269" s="50"/>
      <c r="J269" s="50"/>
      <c r="K269" s="41"/>
      <c r="L269" s="50"/>
      <c r="M269" s="50"/>
      <c r="N269" s="50"/>
      <c r="O269" s="50"/>
      <c r="P269" s="50"/>
      <c r="Q269" s="50"/>
      <c r="R269" s="50"/>
    </row>
    <row r="270" spans="1:18" s="6" customFormat="1" x14ac:dyDescent="0.35">
      <c r="A270" s="24" t="s">
        <v>110</v>
      </c>
      <c r="B270" s="5" t="s">
        <v>112</v>
      </c>
      <c r="C270" s="5" t="s">
        <v>111</v>
      </c>
      <c r="D270" s="16" t="s">
        <v>1200</v>
      </c>
      <c r="E270" s="16" t="s">
        <v>1200</v>
      </c>
      <c r="F270" s="16" t="s">
        <v>1452</v>
      </c>
      <c r="G270" s="16" t="s">
        <v>1453</v>
      </c>
      <c r="H270" s="16" t="s">
        <v>1454</v>
      </c>
      <c r="I270" s="16" t="s">
        <v>1455</v>
      </c>
      <c r="J270" s="16" t="s">
        <v>3</v>
      </c>
      <c r="K270" s="5" t="s">
        <v>1</v>
      </c>
      <c r="L270" s="16" t="s">
        <v>1456</v>
      </c>
      <c r="M270" s="16" t="s">
        <v>1457</v>
      </c>
      <c r="N270" s="16" t="s">
        <v>1458</v>
      </c>
      <c r="O270" s="16" t="s">
        <v>1459</v>
      </c>
      <c r="P270" s="16" t="s">
        <v>1122</v>
      </c>
      <c r="Q270" s="16" t="s">
        <v>1486</v>
      </c>
      <c r="R270" s="16" t="s">
        <v>1498</v>
      </c>
    </row>
    <row r="271" spans="1:18" x14ac:dyDescent="0.35">
      <c r="A271" s="27"/>
      <c r="B271" s="41"/>
      <c r="C271" s="41"/>
      <c r="D271" s="50"/>
      <c r="E271" s="50"/>
      <c r="F271" s="50"/>
      <c r="G271" s="50"/>
      <c r="H271" s="50"/>
      <c r="I271" s="50"/>
      <c r="J271" s="50"/>
      <c r="K271" s="41"/>
      <c r="L271" s="50"/>
      <c r="M271" s="50"/>
      <c r="N271" s="50"/>
      <c r="O271" s="50"/>
      <c r="P271" s="50"/>
      <c r="Q271" s="50"/>
      <c r="R271" s="50"/>
    </row>
    <row r="272" spans="1:18" x14ac:dyDescent="0.35">
      <c r="A272" s="26">
        <v>1</v>
      </c>
      <c r="B272" s="8" t="s">
        <v>1497</v>
      </c>
      <c r="C272" s="41" t="str">
        <f>VLOOKUP(B272,'Project Resource Master'!C:N,5,0)</f>
        <v>Helper</v>
      </c>
      <c r="D272" s="50">
        <v>10</v>
      </c>
      <c r="E272" s="50">
        <v>1</v>
      </c>
      <c r="F272" s="50">
        <v>1</v>
      </c>
      <c r="G272" s="50">
        <v>1</v>
      </c>
      <c r="H272" s="50">
        <v>1</v>
      </c>
      <c r="I272" s="50">
        <v>1</v>
      </c>
      <c r="J272" s="50">
        <f>PRODUCT(D272:I272)</f>
        <v>10</v>
      </c>
      <c r="K272" s="41" t="str">
        <f>VLOOKUP(B272,'Project Resource Master'!C:N,6,0)</f>
        <v>hr</v>
      </c>
      <c r="L272" s="50">
        <f>VLOOKUP(B272,'Project Resource Master'!C:N,11,0)</f>
        <v>0.2</v>
      </c>
      <c r="M272" s="50">
        <f>J272*L272</f>
        <v>2</v>
      </c>
      <c r="N272" s="50">
        <f>+J272+M272</f>
        <v>12</v>
      </c>
      <c r="O272" s="50">
        <f>VLOOKUP(B272,'Project Resource Master'!C:N,12,0)</f>
        <v>100</v>
      </c>
      <c r="P272" s="50">
        <f>+O272*N272</f>
        <v>1200</v>
      </c>
      <c r="Q272" s="50">
        <f>+N272*B268</f>
        <v>12</v>
      </c>
      <c r="R272" s="50">
        <f>Q272*O272</f>
        <v>1200</v>
      </c>
    </row>
    <row r="273" spans="1:18" x14ac:dyDescent="0.35">
      <c r="A273" s="27"/>
      <c r="B273" s="41"/>
      <c r="C273" s="41"/>
      <c r="D273" s="50"/>
      <c r="E273" s="50"/>
      <c r="F273" s="50"/>
      <c r="G273" s="50"/>
      <c r="H273" s="50"/>
      <c r="I273" s="50"/>
      <c r="J273" s="50"/>
      <c r="K273" s="41"/>
      <c r="L273" s="50"/>
      <c r="M273" s="50"/>
      <c r="N273" s="50"/>
      <c r="O273" s="50"/>
      <c r="P273" s="50"/>
      <c r="Q273" s="50"/>
      <c r="R273" s="50"/>
    </row>
    <row r="274" spans="1:18" s="14" customFormat="1" x14ac:dyDescent="0.35">
      <c r="A274" s="29" t="str">
        <f>B266</f>
        <v>2o</v>
      </c>
      <c r="B274" s="7"/>
      <c r="C274" s="7" t="s">
        <v>1485</v>
      </c>
      <c r="D274" s="51"/>
      <c r="E274" s="51"/>
      <c r="F274" s="51"/>
      <c r="G274" s="51"/>
      <c r="H274" s="51"/>
      <c r="I274" s="51"/>
      <c r="J274" s="51"/>
      <c r="K274" s="7"/>
      <c r="L274" s="51"/>
      <c r="M274" s="51"/>
      <c r="N274" s="51"/>
      <c r="O274" s="51"/>
      <c r="P274" s="51">
        <f>SUM(P271:P273)</f>
        <v>1200</v>
      </c>
      <c r="Q274" s="51"/>
      <c r="R274" s="51">
        <f>SUM(R271:R273)</f>
        <v>1200</v>
      </c>
    </row>
    <row r="277" spans="1:18" x14ac:dyDescent="0.35">
      <c r="A277" s="29" t="s">
        <v>1348</v>
      </c>
      <c r="B277" s="49" t="s">
        <v>1373</v>
      </c>
      <c r="C277" s="41"/>
      <c r="D277" s="50"/>
      <c r="E277" s="50"/>
      <c r="F277" s="50"/>
      <c r="G277" s="50"/>
      <c r="H277" s="50"/>
      <c r="I277" s="50"/>
      <c r="J277" s="50"/>
      <c r="K277" s="41"/>
      <c r="L277" s="50"/>
      <c r="M277" s="50"/>
      <c r="N277" s="50"/>
      <c r="O277" s="50"/>
      <c r="P277" s="50"/>
      <c r="Q277" s="50"/>
      <c r="R277" s="50"/>
    </row>
    <row r="278" spans="1:18" ht="29" x14ac:dyDescent="0.35">
      <c r="A278" s="29" t="s">
        <v>1450</v>
      </c>
      <c r="B278" s="49" t="str">
        <f>VLOOKUP(B277,'Working BOQ'!A:K,9,0)</f>
        <v>Removal of Doors</v>
      </c>
      <c r="C278" s="41"/>
      <c r="D278" s="50"/>
      <c r="E278" s="50"/>
      <c r="F278" s="50"/>
      <c r="G278" s="50"/>
      <c r="H278" s="50"/>
      <c r="I278" s="50"/>
      <c r="J278" s="50"/>
      <c r="K278" s="41"/>
      <c r="L278" s="50"/>
      <c r="M278" s="50"/>
      <c r="N278" s="50"/>
      <c r="O278" s="50"/>
      <c r="P278" s="50"/>
      <c r="Q278" s="50"/>
      <c r="R278" s="50"/>
    </row>
    <row r="279" spans="1:18" x14ac:dyDescent="0.35">
      <c r="A279" s="29" t="s">
        <v>1451</v>
      </c>
      <c r="B279" s="49">
        <f>VLOOKUP(B277,'Working BOQ'!A:N,14,0)</f>
        <v>1</v>
      </c>
      <c r="C279" s="41"/>
      <c r="D279" s="50"/>
      <c r="E279" s="50"/>
      <c r="F279" s="50"/>
      <c r="G279" s="50"/>
      <c r="H279" s="50"/>
      <c r="I279" s="50"/>
      <c r="J279" s="50"/>
      <c r="K279" s="41"/>
      <c r="L279" s="50"/>
      <c r="M279" s="50"/>
      <c r="N279" s="50"/>
      <c r="O279" s="50"/>
      <c r="P279" s="50"/>
      <c r="Q279" s="50"/>
      <c r="R279" s="50"/>
    </row>
    <row r="280" spans="1:18" x14ac:dyDescent="0.35">
      <c r="A280" s="29" t="s">
        <v>1</v>
      </c>
      <c r="B280" s="49" t="str">
        <f>VLOOKUP(B277,'Working BOQ'!A:K,11,0)</f>
        <v>L/s</v>
      </c>
      <c r="C280" s="41"/>
      <c r="D280" s="50"/>
      <c r="E280" s="50"/>
      <c r="F280" s="50"/>
      <c r="G280" s="50"/>
      <c r="H280" s="50"/>
      <c r="I280" s="50"/>
      <c r="J280" s="50"/>
      <c r="K280" s="41"/>
      <c r="L280" s="50"/>
      <c r="M280" s="50"/>
      <c r="N280" s="50"/>
      <c r="O280" s="50"/>
      <c r="P280" s="50"/>
      <c r="Q280" s="50"/>
      <c r="R280" s="50"/>
    </row>
    <row r="281" spans="1:18" s="6" customFormat="1" x14ac:dyDescent="0.35">
      <c r="A281" s="24" t="s">
        <v>110</v>
      </c>
      <c r="B281" s="5" t="s">
        <v>112</v>
      </c>
      <c r="C281" s="5" t="s">
        <v>111</v>
      </c>
      <c r="D281" s="16" t="s">
        <v>1200</v>
      </c>
      <c r="E281" s="16" t="s">
        <v>1200</v>
      </c>
      <c r="F281" s="16" t="s">
        <v>1452</v>
      </c>
      <c r="G281" s="16" t="s">
        <v>1453</v>
      </c>
      <c r="H281" s="16" t="s">
        <v>1454</v>
      </c>
      <c r="I281" s="16" t="s">
        <v>1455</v>
      </c>
      <c r="J281" s="16" t="s">
        <v>3</v>
      </c>
      <c r="K281" s="5" t="s">
        <v>1</v>
      </c>
      <c r="L281" s="16" t="s">
        <v>1456</v>
      </c>
      <c r="M281" s="16" t="s">
        <v>1457</v>
      </c>
      <c r="N281" s="16" t="s">
        <v>1458</v>
      </c>
      <c r="O281" s="16" t="s">
        <v>1459</v>
      </c>
      <c r="P281" s="16" t="s">
        <v>1122</v>
      </c>
      <c r="Q281" s="16" t="s">
        <v>1486</v>
      </c>
      <c r="R281" s="16" t="s">
        <v>1498</v>
      </c>
    </row>
    <row r="282" spans="1:18" x14ac:dyDescent="0.35">
      <c r="A282" s="27"/>
      <c r="B282" s="41"/>
      <c r="C282" s="41"/>
      <c r="D282" s="50"/>
      <c r="E282" s="50"/>
      <c r="F282" s="50"/>
      <c r="G282" s="50"/>
      <c r="H282" s="50"/>
      <c r="I282" s="50"/>
      <c r="J282" s="50"/>
      <c r="K282" s="41"/>
      <c r="L282" s="50"/>
      <c r="M282" s="50"/>
      <c r="N282" s="50"/>
      <c r="O282" s="50"/>
      <c r="P282" s="50"/>
      <c r="Q282" s="50"/>
      <c r="R282" s="50"/>
    </row>
    <row r="283" spans="1:18" x14ac:dyDescent="0.35">
      <c r="A283" s="26">
        <v>1</v>
      </c>
      <c r="B283" s="8" t="s">
        <v>1496</v>
      </c>
      <c r="C283" s="41" t="str">
        <f>VLOOKUP(B283,'Project Resource Master'!C:N,5,0)</f>
        <v>Carpenter</v>
      </c>
      <c r="D283" s="50">
        <v>1</v>
      </c>
      <c r="E283" s="50">
        <v>1</v>
      </c>
      <c r="F283" s="50">
        <v>1</v>
      </c>
      <c r="G283" s="50">
        <v>1</v>
      </c>
      <c r="H283" s="50">
        <v>1</v>
      </c>
      <c r="I283" s="50">
        <v>1</v>
      </c>
      <c r="J283" s="50">
        <f>PRODUCT(D283:I283)</f>
        <v>1</v>
      </c>
      <c r="K283" s="41" t="str">
        <f>VLOOKUP(B283,'Project Resource Master'!C:N,6,0)</f>
        <v>hr</v>
      </c>
      <c r="L283" s="50">
        <f>VLOOKUP(B283,'Project Resource Master'!C:N,11,0)</f>
        <v>0.2</v>
      </c>
      <c r="M283" s="50">
        <f>J283*L283</f>
        <v>0.2</v>
      </c>
      <c r="N283" s="50">
        <f>+J283+M283</f>
        <v>1.2</v>
      </c>
      <c r="O283" s="50">
        <f>VLOOKUP(B283,'Project Resource Master'!C:N,12,0)</f>
        <v>100</v>
      </c>
      <c r="P283" s="50">
        <f>+O283*N283</f>
        <v>120</v>
      </c>
      <c r="Q283" s="50">
        <f>+N283*B279</f>
        <v>1.2</v>
      </c>
      <c r="R283" s="50">
        <f>Q283*O283</f>
        <v>120</v>
      </c>
    </row>
    <row r="284" spans="1:18" x14ac:dyDescent="0.35">
      <c r="A284" s="26">
        <v>2</v>
      </c>
      <c r="B284" s="8" t="s">
        <v>1497</v>
      </c>
      <c r="C284" s="41" t="str">
        <f>VLOOKUP(B284,'Project Resource Master'!C:N,5,0)</f>
        <v>Helper</v>
      </c>
      <c r="D284" s="50">
        <v>1</v>
      </c>
      <c r="E284" s="50">
        <v>1</v>
      </c>
      <c r="F284" s="50">
        <v>1</v>
      </c>
      <c r="G284" s="50">
        <v>1</v>
      </c>
      <c r="H284" s="50">
        <v>1</v>
      </c>
      <c r="I284" s="50">
        <v>1</v>
      </c>
      <c r="J284" s="50">
        <f>PRODUCT(D284:I284)</f>
        <v>1</v>
      </c>
      <c r="K284" s="41" t="str">
        <f>VLOOKUP(B284,'Project Resource Master'!C:N,6,0)</f>
        <v>hr</v>
      </c>
      <c r="L284" s="50">
        <f>VLOOKUP(B284,'Project Resource Master'!C:N,11,0)</f>
        <v>0.2</v>
      </c>
      <c r="M284" s="50">
        <f>J284*L284</f>
        <v>0.2</v>
      </c>
      <c r="N284" s="50">
        <f>+J284+M284</f>
        <v>1.2</v>
      </c>
      <c r="O284" s="50">
        <f>VLOOKUP(B284,'Project Resource Master'!C:N,12,0)</f>
        <v>100</v>
      </c>
      <c r="P284" s="50">
        <f>+O284*N284</f>
        <v>120</v>
      </c>
      <c r="Q284" s="50">
        <f>+N284*B279</f>
        <v>1.2</v>
      </c>
      <c r="R284" s="50">
        <f>Q284*O284</f>
        <v>120</v>
      </c>
    </row>
    <row r="285" spans="1:18" x14ac:dyDescent="0.35">
      <c r="A285" s="27"/>
      <c r="B285" s="41"/>
      <c r="C285" s="41"/>
      <c r="D285" s="50"/>
      <c r="E285" s="50"/>
      <c r="F285" s="50"/>
      <c r="G285" s="50"/>
      <c r="H285" s="50"/>
      <c r="I285" s="50"/>
      <c r="J285" s="50"/>
      <c r="K285" s="41"/>
      <c r="L285" s="50"/>
      <c r="M285" s="50"/>
      <c r="N285" s="50"/>
      <c r="O285" s="50"/>
      <c r="P285" s="50"/>
      <c r="Q285" s="50"/>
      <c r="R285" s="50"/>
    </row>
    <row r="286" spans="1:18" s="14" customFormat="1" x14ac:dyDescent="0.35">
      <c r="A286" s="29" t="str">
        <f>B277</f>
        <v>2p</v>
      </c>
      <c r="B286" s="7"/>
      <c r="C286" s="7" t="s">
        <v>1485</v>
      </c>
      <c r="D286" s="51"/>
      <c r="E286" s="51"/>
      <c r="F286" s="51"/>
      <c r="G286" s="51"/>
      <c r="H286" s="51"/>
      <c r="I286" s="51"/>
      <c r="J286" s="51"/>
      <c r="K286" s="7"/>
      <c r="L286" s="51"/>
      <c r="M286" s="51"/>
      <c r="N286" s="51"/>
      <c r="O286" s="51"/>
      <c r="P286" s="51">
        <f>SUM(P282:P285)</f>
        <v>240</v>
      </c>
      <c r="Q286" s="51"/>
      <c r="R286" s="51">
        <f>SUM(R282:R285)</f>
        <v>240</v>
      </c>
    </row>
    <row r="289" spans="1:18" x14ac:dyDescent="0.35">
      <c r="A289" s="29" t="s">
        <v>1348</v>
      </c>
      <c r="B289" s="49" t="s">
        <v>1374</v>
      </c>
      <c r="C289" s="41"/>
      <c r="D289" s="50"/>
      <c r="E289" s="50"/>
      <c r="F289" s="50"/>
      <c r="G289" s="50"/>
      <c r="H289" s="50"/>
      <c r="I289" s="50"/>
      <c r="J289" s="50"/>
      <c r="K289" s="41"/>
      <c r="L289" s="50"/>
      <c r="M289" s="50"/>
      <c r="N289" s="50"/>
      <c r="O289" s="50"/>
      <c r="P289" s="50"/>
      <c r="Q289" s="50"/>
      <c r="R289" s="50"/>
    </row>
    <row r="290" spans="1:18" ht="29" x14ac:dyDescent="0.35">
      <c r="A290" s="29" t="s">
        <v>1450</v>
      </c>
      <c r="B290" s="49" t="str">
        <f>VLOOKUP(B289,'Working BOQ'!A:K,9,0)</f>
        <v>Removal of Windows</v>
      </c>
      <c r="C290" s="41"/>
      <c r="D290" s="50"/>
      <c r="E290" s="50"/>
      <c r="F290" s="50"/>
      <c r="G290" s="50"/>
      <c r="H290" s="50"/>
      <c r="I290" s="50"/>
      <c r="J290" s="50"/>
      <c r="K290" s="41"/>
      <c r="L290" s="50"/>
      <c r="M290" s="50"/>
      <c r="N290" s="50"/>
      <c r="O290" s="50"/>
      <c r="P290" s="50"/>
      <c r="Q290" s="50"/>
      <c r="R290" s="50"/>
    </row>
    <row r="291" spans="1:18" x14ac:dyDescent="0.35">
      <c r="A291" s="29" t="s">
        <v>1451</v>
      </c>
      <c r="B291" s="49">
        <f>VLOOKUP(B289,'Working BOQ'!A:N,14,0)</f>
        <v>1</v>
      </c>
      <c r="C291" s="41"/>
      <c r="D291" s="50"/>
      <c r="E291" s="50"/>
      <c r="F291" s="50"/>
      <c r="G291" s="50"/>
      <c r="H291" s="50"/>
      <c r="I291" s="50"/>
      <c r="J291" s="50"/>
      <c r="K291" s="41"/>
      <c r="L291" s="50"/>
      <c r="M291" s="50"/>
      <c r="N291" s="50"/>
      <c r="O291" s="50"/>
      <c r="P291" s="50"/>
      <c r="Q291" s="50"/>
      <c r="R291" s="50"/>
    </row>
    <row r="292" spans="1:18" x14ac:dyDescent="0.35">
      <c r="A292" s="29" t="s">
        <v>1</v>
      </c>
      <c r="B292" s="49" t="str">
        <f>VLOOKUP(B289,'Working BOQ'!A:K,11,0)</f>
        <v>L/s</v>
      </c>
      <c r="C292" s="41"/>
      <c r="D292" s="50"/>
      <c r="E292" s="50"/>
      <c r="F292" s="50"/>
      <c r="G292" s="50"/>
      <c r="H292" s="50"/>
      <c r="I292" s="50"/>
      <c r="J292" s="50"/>
      <c r="K292" s="41"/>
      <c r="L292" s="50"/>
      <c r="M292" s="50"/>
      <c r="N292" s="50"/>
      <c r="O292" s="50"/>
      <c r="P292" s="50"/>
      <c r="Q292" s="50"/>
      <c r="R292" s="50"/>
    </row>
    <row r="293" spans="1:18" s="6" customFormat="1" x14ac:dyDescent="0.35">
      <c r="A293" s="24" t="s">
        <v>110</v>
      </c>
      <c r="B293" s="5" t="s">
        <v>112</v>
      </c>
      <c r="C293" s="5" t="s">
        <v>111</v>
      </c>
      <c r="D293" s="16" t="s">
        <v>1200</v>
      </c>
      <c r="E293" s="16" t="s">
        <v>1200</v>
      </c>
      <c r="F293" s="16" t="s">
        <v>1452</v>
      </c>
      <c r="G293" s="16" t="s">
        <v>1453</v>
      </c>
      <c r="H293" s="16" t="s">
        <v>1454</v>
      </c>
      <c r="I293" s="16" t="s">
        <v>1455</v>
      </c>
      <c r="J293" s="16" t="s">
        <v>3</v>
      </c>
      <c r="K293" s="5" t="s">
        <v>1</v>
      </c>
      <c r="L293" s="16" t="s">
        <v>1456</v>
      </c>
      <c r="M293" s="16" t="s">
        <v>1457</v>
      </c>
      <c r="N293" s="16" t="s">
        <v>1458</v>
      </c>
      <c r="O293" s="16" t="s">
        <v>1459</v>
      </c>
      <c r="P293" s="16" t="s">
        <v>1122</v>
      </c>
      <c r="Q293" s="16" t="s">
        <v>1486</v>
      </c>
      <c r="R293" s="16" t="s">
        <v>1498</v>
      </c>
    </row>
    <row r="294" spans="1:18" x14ac:dyDescent="0.35">
      <c r="A294" s="27"/>
      <c r="B294" s="41"/>
      <c r="C294" s="41"/>
      <c r="D294" s="50"/>
      <c r="E294" s="50"/>
      <c r="F294" s="50"/>
      <c r="G294" s="50"/>
      <c r="H294" s="50"/>
      <c r="I294" s="50"/>
      <c r="J294" s="50"/>
      <c r="K294" s="41"/>
      <c r="L294" s="50"/>
      <c r="M294" s="50"/>
      <c r="N294" s="50"/>
      <c r="O294" s="50"/>
      <c r="P294" s="50"/>
      <c r="Q294" s="50"/>
      <c r="R294" s="50"/>
    </row>
    <row r="295" spans="1:18" x14ac:dyDescent="0.35">
      <c r="A295" s="26">
        <v>1</v>
      </c>
      <c r="B295" s="8" t="s">
        <v>1496</v>
      </c>
      <c r="C295" s="41" t="str">
        <f>VLOOKUP(B295,'Project Resource Master'!C:N,5,0)</f>
        <v>Carpenter</v>
      </c>
      <c r="D295" s="50">
        <v>1</v>
      </c>
      <c r="E295" s="50">
        <v>1</v>
      </c>
      <c r="F295" s="50">
        <v>1</v>
      </c>
      <c r="G295" s="50">
        <v>1</v>
      </c>
      <c r="H295" s="50">
        <v>1</v>
      </c>
      <c r="I295" s="50">
        <v>1</v>
      </c>
      <c r="J295" s="50">
        <f>PRODUCT(D295:I295)</f>
        <v>1</v>
      </c>
      <c r="K295" s="41" t="str">
        <f>VLOOKUP(B295,'Project Resource Master'!C:N,6,0)</f>
        <v>hr</v>
      </c>
      <c r="L295" s="50">
        <f>VLOOKUP(B295,'Project Resource Master'!C:N,11,0)</f>
        <v>0.2</v>
      </c>
      <c r="M295" s="50">
        <f>J295*L295</f>
        <v>0.2</v>
      </c>
      <c r="N295" s="50">
        <f>+J295+M295</f>
        <v>1.2</v>
      </c>
      <c r="O295" s="50">
        <f>VLOOKUP(B295,'Project Resource Master'!C:N,12,0)</f>
        <v>100</v>
      </c>
      <c r="P295" s="50">
        <f>+O295*N295</f>
        <v>120</v>
      </c>
      <c r="Q295" s="50">
        <f>+N295*B291</f>
        <v>1.2</v>
      </c>
      <c r="R295" s="50">
        <f>Q295*O295</f>
        <v>120</v>
      </c>
    </row>
    <row r="296" spans="1:18" x14ac:dyDescent="0.35">
      <c r="A296" s="26">
        <v>2</v>
      </c>
      <c r="B296" s="8" t="s">
        <v>1497</v>
      </c>
      <c r="C296" s="41" t="str">
        <f>VLOOKUP(B296,'Project Resource Master'!C:N,5,0)</f>
        <v>Helper</v>
      </c>
      <c r="D296" s="50">
        <v>1</v>
      </c>
      <c r="E296" s="50">
        <v>1</v>
      </c>
      <c r="F296" s="50">
        <v>1</v>
      </c>
      <c r="G296" s="50">
        <v>1</v>
      </c>
      <c r="H296" s="50">
        <v>1</v>
      </c>
      <c r="I296" s="50">
        <v>1</v>
      </c>
      <c r="J296" s="50">
        <f>PRODUCT(D296:I296)</f>
        <v>1</v>
      </c>
      <c r="K296" s="41" t="str">
        <f>VLOOKUP(B296,'Project Resource Master'!C:N,6,0)</f>
        <v>hr</v>
      </c>
      <c r="L296" s="50">
        <f>VLOOKUP(B296,'Project Resource Master'!C:N,11,0)</f>
        <v>0.2</v>
      </c>
      <c r="M296" s="50">
        <f>J296*L296</f>
        <v>0.2</v>
      </c>
      <c r="N296" s="50">
        <f>+J296+M296</f>
        <v>1.2</v>
      </c>
      <c r="O296" s="50">
        <f>VLOOKUP(B296,'Project Resource Master'!C:N,12,0)</f>
        <v>100</v>
      </c>
      <c r="P296" s="50">
        <f>+O296*N296</f>
        <v>120</v>
      </c>
      <c r="Q296" s="50">
        <f>+N296*B291</f>
        <v>1.2</v>
      </c>
      <c r="R296" s="50">
        <f>Q296*O296</f>
        <v>120</v>
      </c>
    </row>
    <row r="297" spans="1:18" x14ac:dyDescent="0.35">
      <c r="A297" s="27"/>
      <c r="B297" s="41"/>
      <c r="C297" s="41"/>
      <c r="D297" s="50"/>
      <c r="E297" s="50"/>
      <c r="F297" s="50"/>
      <c r="G297" s="50"/>
      <c r="H297" s="50"/>
      <c r="I297" s="50"/>
      <c r="J297" s="50"/>
      <c r="K297" s="41"/>
      <c r="L297" s="50"/>
      <c r="M297" s="50"/>
      <c r="N297" s="50"/>
      <c r="O297" s="50"/>
      <c r="P297" s="50"/>
      <c r="Q297" s="50"/>
      <c r="R297" s="50"/>
    </row>
    <row r="298" spans="1:18" s="14" customFormat="1" x14ac:dyDescent="0.35">
      <c r="A298" s="29" t="str">
        <f>B289</f>
        <v>2q</v>
      </c>
      <c r="B298" s="7"/>
      <c r="C298" s="7" t="s">
        <v>1485</v>
      </c>
      <c r="D298" s="51"/>
      <c r="E298" s="51"/>
      <c r="F298" s="51"/>
      <c r="G298" s="51"/>
      <c r="H298" s="51"/>
      <c r="I298" s="51"/>
      <c r="J298" s="51"/>
      <c r="K298" s="7"/>
      <c r="L298" s="51"/>
      <c r="M298" s="51"/>
      <c r="N298" s="51"/>
      <c r="O298" s="51"/>
      <c r="P298" s="51">
        <f>SUM(P294:P297)</f>
        <v>240</v>
      </c>
      <c r="Q298" s="51"/>
      <c r="R298" s="51">
        <f>SUM(R294:R297)</f>
        <v>240</v>
      </c>
    </row>
    <row r="301" spans="1:18" x14ac:dyDescent="0.35">
      <c r="A301" s="29" t="s">
        <v>1348</v>
      </c>
      <c r="B301" s="49" t="s">
        <v>1375</v>
      </c>
      <c r="C301" s="41"/>
      <c r="D301" s="50"/>
      <c r="E301" s="50"/>
      <c r="F301" s="50"/>
      <c r="G301" s="50"/>
      <c r="H301" s="50"/>
      <c r="I301" s="50"/>
      <c r="J301" s="50"/>
      <c r="K301" s="41"/>
      <c r="L301" s="50"/>
      <c r="M301" s="50"/>
      <c r="N301" s="50"/>
      <c r="O301" s="50"/>
      <c r="P301" s="50"/>
      <c r="Q301" s="50"/>
      <c r="R301" s="50"/>
    </row>
    <row r="302" spans="1:18" ht="29" x14ac:dyDescent="0.35">
      <c r="A302" s="29" t="s">
        <v>1450</v>
      </c>
      <c r="B302" s="49" t="str">
        <f>VLOOKUP(B301,'Working BOQ'!A:K,9,0)</f>
        <v>Demolition of Glass Partition</v>
      </c>
      <c r="C302" s="41"/>
      <c r="D302" s="50"/>
      <c r="E302" s="50"/>
      <c r="F302" s="50"/>
      <c r="G302" s="50"/>
      <c r="H302" s="50"/>
      <c r="I302" s="50"/>
      <c r="J302" s="50"/>
      <c r="K302" s="41"/>
      <c r="L302" s="50"/>
      <c r="M302" s="50"/>
      <c r="N302" s="50"/>
      <c r="O302" s="50"/>
      <c r="P302" s="50"/>
      <c r="Q302" s="50"/>
      <c r="R302" s="50"/>
    </row>
    <row r="303" spans="1:18" x14ac:dyDescent="0.35">
      <c r="A303" s="29" t="s">
        <v>1451</v>
      </c>
      <c r="B303" s="49">
        <f>VLOOKUP(B301,'Working BOQ'!A:N,14,0)</f>
        <v>1</v>
      </c>
      <c r="C303" s="41"/>
      <c r="D303" s="50"/>
      <c r="E303" s="50"/>
      <c r="F303" s="50"/>
      <c r="G303" s="50"/>
      <c r="H303" s="50"/>
      <c r="I303" s="50"/>
      <c r="J303" s="50"/>
      <c r="K303" s="41"/>
      <c r="L303" s="50"/>
      <c r="M303" s="50"/>
      <c r="N303" s="50"/>
      <c r="O303" s="50"/>
      <c r="P303" s="50"/>
      <c r="Q303" s="50"/>
      <c r="R303" s="50"/>
    </row>
    <row r="304" spans="1:18" x14ac:dyDescent="0.35">
      <c r="A304" s="29" t="s">
        <v>1</v>
      </c>
      <c r="B304" s="49" t="str">
        <f>VLOOKUP(B301,'Working BOQ'!A:K,11,0)</f>
        <v>L/s</v>
      </c>
      <c r="C304" s="41"/>
      <c r="D304" s="50"/>
      <c r="E304" s="50"/>
      <c r="F304" s="50"/>
      <c r="G304" s="50"/>
      <c r="H304" s="50"/>
      <c r="I304" s="50"/>
      <c r="J304" s="50"/>
      <c r="K304" s="41"/>
      <c r="L304" s="50"/>
      <c r="M304" s="50"/>
      <c r="N304" s="50"/>
      <c r="O304" s="50"/>
      <c r="P304" s="50"/>
      <c r="Q304" s="50"/>
      <c r="R304" s="50"/>
    </row>
    <row r="305" spans="1:18" s="6" customFormat="1" x14ac:dyDescent="0.35">
      <c r="A305" s="24" t="s">
        <v>110</v>
      </c>
      <c r="B305" s="5" t="s">
        <v>112</v>
      </c>
      <c r="C305" s="5" t="s">
        <v>111</v>
      </c>
      <c r="D305" s="16" t="s">
        <v>1200</v>
      </c>
      <c r="E305" s="16" t="s">
        <v>1200</v>
      </c>
      <c r="F305" s="16" t="s">
        <v>1452</v>
      </c>
      <c r="G305" s="16" t="s">
        <v>1453</v>
      </c>
      <c r="H305" s="16" t="s">
        <v>1454</v>
      </c>
      <c r="I305" s="16" t="s">
        <v>1455</v>
      </c>
      <c r="J305" s="16" t="s">
        <v>3</v>
      </c>
      <c r="K305" s="5" t="s">
        <v>1</v>
      </c>
      <c r="L305" s="16" t="s">
        <v>1456</v>
      </c>
      <c r="M305" s="16" t="s">
        <v>1457</v>
      </c>
      <c r="N305" s="16" t="s">
        <v>1458</v>
      </c>
      <c r="O305" s="16" t="s">
        <v>1459</v>
      </c>
      <c r="P305" s="16" t="s">
        <v>1122</v>
      </c>
      <c r="Q305" s="16" t="s">
        <v>1486</v>
      </c>
      <c r="R305" s="16" t="s">
        <v>1498</v>
      </c>
    </row>
    <row r="306" spans="1:18" x14ac:dyDescent="0.35">
      <c r="A306" s="27"/>
      <c r="B306" s="41"/>
      <c r="C306" s="41"/>
      <c r="D306" s="50"/>
      <c r="E306" s="50"/>
      <c r="F306" s="50"/>
      <c r="G306" s="50"/>
      <c r="H306" s="50"/>
      <c r="I306" s="50"/>
      <c r="J306" s="50"/>
      <c r="K306" s="41"/>
      <c r="L306" s="50"/>
      <c r="M306" s="50"/>
      <c r="N306" s="50"/>
      <c r="O306" s="50"/>
      <c r="P306" s="50"/>
      <c r="Q306" s="50"/>
      <c r="R306" s="50"/>
    </row>
    <row r="307" spans="1:18" x14ac:dyDescent="0.35">
      <c r="A307" s="26">
        <v>1</v>
      </c>
      <c r="B307" s="8" t="s">
        <v>1491</v>
      </c>
      <c r="C307" s="41" t="str">
        <f>VLOOKUP(B307,'Project Resource Master'!C:N,5,0)</f>
        <v>Helper</v>
      </c>
      <c r="D307" s="50">
        <v>1</v>
      </c>
      <c r="E307" s="50">
        <v>1</v>
      </c>
      <c r="F307" s="50">
        <v>1</v>
      </c>
      <c r="G307" s="50">
        <v>1</v>
      </c>
      <c r="H307" s="50">
        <v>1</v>
      </c>
      <c r="I307" s="50">
        <v>1</v>
      </c>
      <c r="J307" s="50">
        <f>PRODUCT(D307:I307)</f>
        <v>1</v>
      </c>
      <c r="K307" s="41" t="str">
        <f>VLOOKUP(B307,'Project Resource Master'!C:N,6,0)</f>
        <v>hr</v>
      </c>
      <c r="L307" s="50">
        <f>VLOOKUP(B307,'Project Resource Master'!C:N,11,0)</f>
        <v>0.05</v>
      </c>
      <c r="M307" s="50">
        <f>J307*L307</f>
        <v>0.05</v>
      </c>
      <c r="N307" s="50">
        <f>+J307+M307</f>
        <v>1.05</v>
      </c>
      <c r="O307" s="50">
        <f>VLOOKUP(B307,'Project Resource Master'!C:N,12,0)</f>
        <v>50</v>
      </c>
      <c r="P307" s="50">
        <f>+O307*N307</f>
        <v>52.5</v>
      </c>
      <c r="Q307" s="50">
        <f>+N307*B303</f>
        <v>1.05</v>
      </c>
      <c r="R307" s="50">
        <f>Q307*O307</f>
        <v>52.5</v>
      </c>
    </row>
    <row r="308" spans="1:18" x14ac:dyDescent="0.35">
      <c r="A308" s="27"/>
      <c r="B308" s="41"/>
      <c r="C308" s="41"/>
      <c r="D308" s="50"/>
      <c r="E308" s="50"/>
      <c r="F308" s="50"/>
      <c r="G308" s="50"/>
      <c r="H308" s="50"/>
      <c r="I308" s="50"/>
      <c r="J308" s="50"/>
      <c r="K308" s="41"/>
      <c r="L308" s="50"/>
      <c r="M308" s="50"/>
      <c r="N308" s="50"/>
      <c r="O308" s="50"/>
      <c r="P308" s="50"/>
      <c r="Q308" s="50"/>
      <c r="R308" s="50"/>
    </row>
    <row r="309" spans="1:18" s="14" customFormat="1" x14ac:dyDescent="0.35">
      <c r="A309" s="29" t="str">
        <f>B301</f>
        <v>2r</v>
      </c>
      <c r="B309" s="7"/>
      <c r="C309" s="7" t="s">
        <v>1485</v>
      </c>
      <c r="D309" s="51"/>
      <c r="E309" s="51"/>
      <c r="F309" s="51"/>
      <c r="G309" s="51"/>
      <c r="H309" s="51"/>
      <c r="I309" s="51"/>
      <c r="J309" s="51"/>
      <c r="K309" s="7"/>
      <c r="L309" s="51"/>
      <c r="M309" s="51"/>
      <c r="N309" s="51"/>
      <c r="O309" s="51"/>
      <c r="P309" s="51">
        <f>SUM(P306:P308)</f>
        <v>52.5</v>
      </c>
      <c r="Q309" s="51"/>
      <c r="R309" s="51">
        <f>SUM(R306:R308)</f>
        <v>52.5</v>
      </c>
    </row>
    <row r="312" spans="1:18" x14ac:dyDescent="0.35">
      <c r="A312" s="29" t="s">
        <v>1348</v>
      </c>
      <c r="B312" s="49" t="s">
        <v>1412</v>
      </c>
      <c r="C312" s="41"/>
      <c r="D312" s="50"/>
      <c r="E312" s="50"/>
      <c r="F312" s="50"/>
      <c r="G312" s="50"/>
      <c r="H312" s="50"/>
      <c r="I312" s="50"/>
      <c r="J312" s="50"/>
      <c r="K312" s="41"/>
      <c r="L312" s="50"/>
      <c r="M312" s="50"/>
      <c r="N312" s="50"/>
      <c r="O312" s="50"/>
      <c r="P312" s="50"/>
      <c r="Q312" s="50"/>
      <c r="R312" s="50"/>
    </row>
    <row r="313" spans="1:18" ht="29" x14ac:dyDescent="0.35">
      <c r="A313" s="29" t="s">
        <v>1450</v>
      </c>
      <c r="B313" s="49" t="str">
        <f>VLOOKUP(B312,'Working BOQ'!A:K,9,0)</f>
        <v>Loose Furniture</v>
      </c>
      <c r="C313" s="41"/>
      <c r="D313" s="50"/>
      <c r="E313" s="50"/>
      <c r="F313" s="50"/>
      <c r="G313" s="50"/>
      <c r="H313" s="50"/>
      <c r="I313" s="50"/>
      <c r="J313" s="50"/>
      <c r="K313" s="41"/>
      <c r="L313" s="50"/>
      <c r="M313" s="50"/>
      <c r="N313" s="50"/>
      <c r="O313" s="50"/>
      <c r="P313" s="50"/>
      <c r="Q313" s="50"/>
      <c r="R313" s="50"/>
    </row>
    <row r="314" spans="1:18" x14ac:dyDescent="0.35">
      <c r="A314" s="29" t="s">
        <v>1451</v>
      </c>
      <c r="B314" s="49">
        <f>VLOOKUP(B312,'Working BOQ'!A:N,14,0)</f>
        <v>1</v>
      </c>
      <c r="C314" s="41"/>
      <c r="D314" s="50"/>
      <c r="E314" s="50"/>
      <c r="F314" s="50"/>
      <c r="G314" s="50"/>
      <c r="H314" s="50"/>
      <c r="I314" s="50"/>
      <c r="J314" s="50"/>
      <c r="K314" s="41"/>
      <c r="L314" s="50"/>
      <c r="M314" s="50"/>
      <c r="N314" s="50"/>
      <c r="O314" s="50"/>
      <c r="P314" s="50"/>
      <c r="Q314" s="50"/>
      <c r="R314" s="50"/>
    </row>
    <row r="315" spans="1:18" x14ac:dyDescent="0.35">
      <c r="A315" s="29" t="s">
        <v>1</v>
      </c>
      <c r="B315" s="49" t="str">
        <f>VLOOKUP(B312,'Working BOQ'!A:K,11,0)</f>
        <v>L/s</v>
      </c>
      <c r="C315" s="41"/>
      <c r="D315" s="50"/>
      <c r="E315" s="50"/>
      <c r="F315" s="50"/>
      <c r="G315" s="50"/>
      <c r="H315" s="50"/>
      <c r="I315" s="50"/>
      <c r="J315" s="50"/>
      <c r="K315" s="41"/>
      <c r="L315" s="50"/>
      <c r="M315" s="50"/>
      <c r="N315" s="50"/>
      <c r="O315" s="50"/>
      <c r="P315" s="50"/>
      <c r="Q315" s="50"/>
      <c r="R315" s="50"/>
    </row>
    <row r="316" spans="1:18" s="6" customFormat="1" x14ac:dyDescent="0.35">
      <c r="A316" s="24" t="s">
        <v>110</v>
      </c>
      <c r="B316" s="5" t="s">
        <v>112</v>
      </c>
      <c r="C316" s="5" t="s">
        <v>111</v>
      </c>
      <c r="D316" s="16" t="s">
        <v>1200</v>
      </c>
      <c r="E316" s="16" t="s">
        <v>1200</v>
      </c>
      <c r="F316" s="16" t="s">
        <v>1452</v>
      </c>
      <c r="G316" s="16" t="s">
        <v>1453</v>
      </c>
      <c r="H316" s="16" t="s">
        <v>1454</v>
      </c>
      <c r="I316" s="16" t="s">
        <v>1455</v>
      </c>
      <c r="J316" s="16" t="s">
        <v>3</v>
      </c>
      <c r="K316" s="5" t="s">
        <v>1</v>
      </c>
      <c r="L316" s="16" t="s">
        <v>1456</v>
      </c>
      <c r="M316" s="16" t="s">
        <v>1457</v>
      </c>
      <c r="N316" s="16" t="s">
        <v>1458</v>
      </c>
      <c r="O316" s="16" t="s">
        <v>1459</v>
      </c>
      <c r="P316" s="16" t="s">
        <v>1122</v>
      </c>
      <c r="Q316" s="16" t="s">
        <v>1486</v>
      </c>
      <c r="R316" s="16" t="s">
        <v>1498</v>
      </c>
    </row>
    <row r="317" spans="1:18" x14ac:dyDescent="0.35">
      <c r="A317" s="27"/>
      <c r="B317" s="41"/>
      <c r="C317" s="41"/>
      <c r="D317" s="50"/>
      <c r="E317" s="50"/>
      <c r="F317" s="50"/>
      <c r="G317" s="50"/>
      <c r="H317" s="50"/>
      <c r="I317" s="50"/>
      <c r="J317" s="50"/>
      <c r="K317" s="41"/>
      <c r="L317" s="50"/>
      <c r="M317" s="50"/>
      <c r="N317" s="50"/>
      <c r="O317" s="50"/>
      <c r="P317" s="50"/>
      <c r="Q317" s="50"/>
      <c r="R317" s="50"/>
    </row>
    <row r="318" spans="1:18" x14ac:dyDescent="0.35">
      <c r="A318" s="26">
        <v>1</v>
      </c>
      <c r="B318" s="8" t="s">
        <v>1518</v>
      </c>
      <c r="C318" s="41" t="str">
        <f>VLOOKUP(B318,'Project Resource Master'!C:N,5,0)</f>
        <v>Loose Furniture</v>
      </c>
      <c r="D318" s="50">
        <v>1</v>
      </c>
      <c r="E318" s="50">
        <v>1</v>
      </c>
      <c r="F318" s="50">
        <v>1</v>
      </c>
      <c r="G318" s="50">
        <v>1</v>
      </c>
      <c r="H318" s="50">
        <v>1</v>
      </c>
      <c r="I318" s="50">
        <v>1</v>
      </c>
      <c r="J318" s="50">
        <f>PRODUCT(D318:I318)</f>
        <v>1</v>
      </c>
      <c r="K318" s="41" t="str">
        <f>VLOOKUP(B318,'Project Resource Master'!C:N,6,0)</f>
        <v>L/s</v>
      </c>
      <c r="L318" s="50">
        <f>VLOOKUP(B318,'Project Resource Master'!C:N,11,0)</f>
        <v>0</v>
      </c>
      <c r="M318" s="50">
        <f>J318*L318</f>
        <v>0</v>
      </c>
      <c r="N318" s="50">
        <f>+J318+M318</f>
        <v>1</v>
      </c>
      <c r="O318" s="50">
        <f>VLOOKUP(B318,'Project Resource Master'!C:N,12,0)</f>
        <v>100000</v>
      </c>
      <c r="P318" s="50">
        <f>+O318*N318</f>
        <v>100000</v>
      </c>
      <c r="Q318" s="50">
        <f>+N318*B314</f>
        <v>1</v>
      </c>
      <c r="R318" s="50">
        <f>Q318*O318</f>
        <v>100000</v>
      </c>
    </row>
    <row r="319" spans="1:18" x14ac:dyDescent="0.35">
      <c r="A319" s="27"/>
      <c r="B319" s="41"/>
      <c r="C319" s="41"/>
      <c r="D319" s="50"/>
      <c r="E319" s="50"/>
      <c r="F319" s="50"/>
      <c r="G319" s="50"/>
      <c r="H319" s="50"/>
      <c r="I319" s="50"/>
      <c r="J319" s="50"/>
      <c r="K319" s="41"/>
      <c r="L319" s="50"/>
      <c r="M319" s="50"/>
      <c r="N319" s="50"/>
      <c r="O319" s="50"/>
      <c r="P319" s="50"/>
      <c r="Q319" s="50"/>
      <c r="R319" s="50"/>
    </row>
    <row r="320" spans="1:18" s="14" customFormat="1" x14ac:dyDescent="0.35">
      <c r="A320" s="29" t="str">
        <f>B312</f>
        <v>6a</v>
      </c>
      <c r="B320" s="7"/>
      <c r="C320" s="7" t="s">
        <v>1485</v>
      </c>
      <c r="D320" s="51"/>
      <c r="E320" s="51"/>
      <c r="F320" s="51"/>
      <c r="G320" s="51"/>
      <c r="H320" s="51"/>
      <c r="I320" s="51"/>
      <c r="J320" s="51"/>
      <c r="K320" s="7"/>
      <c r="L320" s="51"/>
      <c r="M320" s="51"/>
      <c r="N320" s="51"/>
      <c r="O320" s="51"/>
      <c r="P320" s="51">
        <f>SUM(P317:P319)</f>
        <v>100000</v>
      </c>
      <c r="Q320" s="51"/>
      <c r="R320" s="51">
        <f>SUM(R317:R319)</f>
        <v>100000</v>
      </c>
    </row>
    <row r="323" spans="1:18" x14ac:dyDescent="0.35">
      <c r="A323" s="29" t="s">
        <v>1348</v>
      </c>
      <c r="B323" s="49" t="s">
        <v>1413</v>
      </c>
      <c r="C323" s="41"/>
      <c r="D323" s="50"/>
      <c r="E323" s="50"/>
      <c r="F323" s="50"/>
      <c r="G323" s="50"/>
      <c r="H323" s="50"/>
      <c r="I323" s="50"/>
      <c r="J323" s="50"/>
      <c r="K323" s="41"/>
      <c r="L323" s="50"/>
      <c r="M323" s="50"/>
      <c r="N323" s="50"/>
      <c r="O323" s="50"/>
      <c r="P323" s="50"/>
      <c r="Q323" s="50"/>
      <c r="R323" s="50"/>
    </row>
    <row r="324" spans="1:18" ht="29" x14ac:dyDescent="0.35">
      <c r="A324" s="29" t="s">
        <v>1450</v>
      </c>
      <c r="B324" s="49" t="str">
        <f>VLOOKUP(B323,'Working BOQ'!A:K,9,0)</f>
        <v>MEP Works</v>
      </c>
      <c r="C324" s="41"/>
      <c r="D324" s="50"/>
      <c r="E324" s="50"/>
      <c r="F324" s="50"/>
      <c r="G324" s="50"/>
      <c r="H324" s="50"/>
      <c r="I324" s="50"/>
      <c r="J324" s="50"/>
      <c r="K324" s="41"/>
      <c r="L324" s="50"/>
      <c r="M324" s="50"/>
      <c r="N324" s="50"/>
      <c r="O324" s="50"/>
      <c r="P324" s="50"/>
      <c r="Q324" s="50"/>
      <c r="R324" s="50"/>
    </row>
    <row r="325" spans="1:18" x14ac:dyDescent="0.35">
      <c r="A325" s="29" t="s">
        <v>1451</v>
      </c>
      <c r="B325" s="49">
        <f>VLOOKUP(B323,'Working BOQ'!A:N,14,0)</f>
        <v>1</v>
      </c>
      <c r="C325" s="41"/>
      <c r="D325" s="50"/>
      <c r="E325" s="50"/>
      <c r="F325" s="50"/>
      <c r="G325" s="50"/>
      <c r="H325" s="50"/>
      <c r="I325" s="50"/>
      <c r="J325" s="50"/>
      <c r="K325" s="41"/>
      <c r="L325" s="50"/>
      <c r="M325" s="50"/>
      <c r="N325" s="50"/>
      <c r="O325" s="50"/>
      <c r="P325" s="50"/>
      <c r="Q325" s="50"/>
      <c r="R325" s="50"/>
    </row>
    <row r="326" spans="1:18" x14ac:dyDescent="0.35">
      <c r="A326" s="29" t="s">
        <v>1</v>
      </c>
      <c r="B326" s="49" t="str">
        <f>VLOOKUP(B323,'Working BOQ'!A:K,11,0)</f>
        <v>L/s</v>
      </c>
      <c r="C326" s="41"/>
      <c r="D326" s="50"/>
      <c r="E326" s="50"/>
      <c r="F326" s="50"/>
      <c r="G326" s="50"/>
      <c r="H326" s="50"/>
      <c r="I326" s="50"/>
      <c r="J326" s="50"/>
      <c r="K326" s="41"/>
      <c r="L326" s="50"/>
      <c r="M326" s="50"/>
      <c r="N326" s="50"/>
      <c r="O326" s="50"/>
      <c r="P326" s="50"/>
      <c r="Q326" s="50"/>
      <c r="R326" s="50"/>
    </row>
    <row r="327" spans="1:18" s="6" customFormat="1" x14ac:dyDescent="0.35">
      <c r="A327" s="24" t="s">
        <v>110</v>
      </c>
      <c r="B327" s="5" t="s">
        <v>112</v>
      </c>
      <c r="C327" s="5" t="s">
        <v>111</v>
      </c>
      <c r="D327" s="16" t="s">
        <v>1200</v>
      </c>
      <c r="E327" s="16" t="s">
        <v>1200</v>
      </c>
      <c r="F327" s="16" t="s">
        <v>1452</v>
      </c>
      <c r="G327" s="16" t="s">
        <v>1453</v>
      </c>
      <c r="H327" s="16" t="s">
        <v>1454</v>
      </c>
      <c r="I327" s="16" t="s">
        <v>1455</v>
      </c>
      <c r="J327" s="16" t="s">
        <v>3</v>
      </c>
      <c r="K327" s="5" t="s">
        <v>1</v>
      </c>
      <c r="L327" s="16" t="s">
        <v>1456</v>
      </c>
      <c r="M327" s="16" t="s">
        <v>1457</v>
      </c>
      <c r="N327" s="16" t="s">
        <v>1458</v>
      </c>
      <c r="O327" s="16" t="s">
        <v>1459</v>
      </c>
      <c r="P327" s="16" t="s">
        <v>1122</v>
      </c>
      <c r="Q327" s="16" t="s">
        <v>1486</v>
      </c>
      <c r="R327" s="16" t="s">
        <v>1498</v>
      </c>
    </row>
    <row r="328" spans="1:18" x14ac:dyDescent="0.35">
      <c r="A328" s="27"/>
      <c r="B328" s="41"/>
      <c r="C328" s="41"/>
      <c r="D328" s="50"/>
      <c r="E328" s="50"/>
      <c r="F328" s="50"/>
      <c r="G328" s="50"/>
      <c r="H328" s="50"/>
      <c r="I328" s="50"/>
      <c r="J328" s="50"/>
      <c r="K328" s="41"/>
      <c r="L328" s="50"/>
      <c r="M328" s="50"/>
      <c r="N328" s="50"/>
      <c r="O328" s="50"/>
      <c r="P328" s="50"/>
      <c r="Q328" s="50"/>
      <c r="R328" s="50"/>
    </row>
    <row r="329" spans="1:18" x14ac:dyDescent="0.35">
      <c r="A329" s="26">
        <v>1</v>
      </c>
      <c r="B329" s="8" t="s">
        <v>1519</v>
      </c>
      <c r="C329" s="41" t="str">
        <f>VLOOKUP(B329,'Project Resource Master'!C:N,5,0)</f>
        <v>MEP Works</v>
      </c>
      <c r="D329" s="50">
        <v>1</v>
      </c>
      <c r="E329" s="50">
        <v>1</v>
      </c>
      <c r="F329" s="50">
        <v>1</v>
      </c>
      <c r="G329" s="50">
        <v>1</v>
      </c>
      <c r="H329" s="50">
        <v>1</v>
      </c>
      <c r="I329" s="50">
        <v>1</v>
      </c>
      <c r="J329" s="50">
        <f>PRODUCT(D329:I329)</f>
        <v>1</v>
      </c>
      <c r="K329" s="41" t="str">
        <f>VLOOKUP(B329,'Project Resource Master'!C:N,6,0)</f>
        <v>L/s</v>
      </c>
      <c r="L329" s="50">
        <f>VLOOKUP(B329,'Project Resource Master'!C:N,11,0)</f>
        <v>0</v>
      </c>
      <c r="M329" s="50">
        <f>J329*L329</f>
        <v>0</v>
      </c>
      <c r="N329" s="50">
        <f>+J329+M329</f>
        <v>1</v>
      </c>
      <c r="O329" s="50">
        <f>VLOOKUP(B329,'Project Resource Master'!C:N,12,0)</f>
        <v>100000</v>
      </c>
      <c r="P329" s="50">
        <f>+O329*N329</f>
        <v>100000</v>
      </c>
      <c r="Q329" s="50">
        <f>+N329*B325</f>
        <v>1</v>
      </c>
      <c r="R329" s="50">
        <f>Q329*O329</f>
        <v>100000</v>
      </c>
    </row>
    <row r="330" spans="1:18" x14ac:dyDescent="0.35">
      <c r="A330" s="27"/>
      <c r="B330" s="41"/>
      <c r="C330" s="41"/>
      <c r="D330" s="50"/>
      <c r="E330" s="50"/>
      <c r="F330" s="50"/>
      <c r="G330" s="50"/>
      <c r="H330" s="50"/>
      <c r="I330" s="50"/>
      <c r="J330" s="50"/>
      <c r="K330" s="41"/>
      <c r="L330" s="50"/>
      <c r="M330" s="50"/>
      <c r="N330" s="50"/>
      <c r="O330" s="50"/>
      <c r="P330" s="50"/>
      <c r="Q330" s="50"/>
      <c r="R330" s="50"/>
    </row>
    <row r="331" spans="1:18" s="14" customFormat="1" x14ac:dyDescent="0.35">
      <c r="A331" s="29" t="str">
        <f>B323</f>
        <v>6b</v>
      </c>
      <c r="B331" s="7"/>
      <c r="C331" s="7" t="s">
        <v>1485</v>
      </c>
      <c r="D331" s="51"/>
      <c r="E331" s="51"/>
      <c r="F331" s="51"/>
      <c r="G331" s="51"/>
      <c r="H331" s="51"/>
      <c r="I331" s="51"/>
      <c r="J331" s="51"/>
      <c r="K331" s="7"/>
      <c r="L331" s="51"/>
      <c r="M331" s="51"/>
      <c r="N331" s="51"/>
      <c r="O331" s="51"/>
      <c r="P331" s="51">
        <f>SUM(P328:P330)</f>
        <v>100000</v>
      </c>
      <c r="Q331" s="51"/>
      <c r="R331" s="51">
        <f>SUM(R328:R330)</f>
        <v>100000</v>
      </c>
    </row>
    <row r="334" spans="1:18" x14ac:dyDescent="0.35">
      <c r="A334" s="29" t="s">
        <v>1348</v>
      </c>
      <c r="B334" s="49" t="s">
        <v>1414</v>
      </c>
      <c r="C334" s="41"/>
      <c r="D334" s="50"/>
      <c r="E334" s="50"/>
      <c r="F334" s="50"/>
      <c r="G334" s="50"/>
      <c r="H334" s="50"/>
      <c r="I334" s="50"/>
      <c r="J334" s="50"/>
      <c r="K334" s="41"/>
      <c r="L334" s="50"/>
      <c r="M334" s="50"/>
      <c r="N334" s="50"/>
      <c r="O334" s="50"/>
      <c r="P334" s="50"/>
      <c r="Q334" s="50"/>
      <c r="R334" s="50"/>
    </row>
    <row r="335" spans="1:18" ht="29" x14ac:dyDescent="0.35">
      <c r="A335" s="29" t="s">
        <v>1450</v>
      </c>
      <c r="B335" s="49" t="str">
        <f>VLOOKUP(B334,'Working BOQ'!A:K,9,0)</f>
        <v>HVAC Works</v>
      </c>
      <c r="C335" s="41"/>
      <c r="D335" s="50"/>
      <c r="E335" s="50"/>
      <c r="F335" s="50"/>
      <c r="G335" s="50"/>
      <c r="H335" s="50"/>
      <c r="I335" s="50"/>
      <c r="J335" s="50"/>
      <c r="K335" s="41"/>
      <c r="L335" s="50"/>
      <c r="M335" s="50"/>
      <c r="N335" s="50"/>
      <c r="O335" s="50"/>
      <c r="P335" s="50"/>
      <c r="Q335" s="50"/>
      <c r="R335" s="50"/>
    </row>
    <row r="336" spans="1:18" x14ac:dyDescent="0.35">
      <c r="A336" s="29" t="s">
        <v>1451</v>
      </c>
      <c r="B336" s="49">
        <f>VLOOKUP(B334,'Working BOQ'!A:N,14,0)</f>
        <v>1</v>
      </c>
      <c r="C336" s="41"/>
      <c r="D336" s="50"/>
      <c r="E336" s="50"/>
      <c r="F336" s="50"/>
      <c r="G336" s="50"/>
      <c r="H336" s="50"/>
      <c r="I336" s="50"/>
      <c r="J336" s="50"/>
      <c r="K336" s="41"/>
      <c r="L336" s="50"/>
      <c r="M336" s="50"/>
      <c r="N336" s="50"/>
      <c r="O336" s="50"/>
      <c r="P336" s="50"/>
      <c r="Q336" s="50"/>
      <c r="R336" s="50"/>
    </row>
    <row r="337" spans="1:18" x14ac:dyDescent="0.35">
      <c r="A337" s="29" t="s">
        <v>1</v>
      </c>
      <c r="B337" s="49" t="str">
        <f>VLOOKUP(B334,'Working BOQ'!A:K,11,0)</f>
        <v>L/s</v>
      </c>
      <c r="C337" s="41"/>
      <c r="D337" s="50"/>
      <c r="E337" s="50"/>
      <c r="F337" s="50"/>
      <c r="G337" s="50"/>
      <c r="H337" s="50"/>
      <c r="I337" s="50"/>
      <c r="J337" s="50"/>
      <c r="K337" s="41"/>
      <c r="L337" s="50"/>
      <c r="M337" s="50"/>
      <c r="N337" s="50"/>
      <c r="O337" s="50"/>
      <c r="P337" s="50"/>
      <c r="Q337" s="50"/>
      <c r="R337" s="50"/>
    </row>
    <row r="338" spans="1:18" s="6" customFormat="1" x14ac:dyDescent="0.35">
      <c r="A338" s="24" t="s">
        <v>110</v>
      </c>
      <c r="B338" s="5" t="s">
        <v>112</v>
      </c>
      <c r="C338" s="5" t="s">
        <v>111</v>
      </c>
      <c r="D338" s="16" t="s">
        <v>1200</v>
      </c>
      <c r="E338" s="16" t="s">
        <v>1200</v>
      </c>
      <c r="F338" s="16" t="s">
        <v>1452</v>
      </c>
      <c r="G338" s="16" t="s">
        <v>1453</v>
      </c>
      <c r="H338" s="16" t="s">
        <v>1454</v>
      </c>
      <c r="I338" s="16" t="s">
        <v>1455</v>
      </c>
      <c r="J338" s="16" t="s">
        <v>3</v>
      </c>
      <c r="K338" s="5" t="s">
        <v>1</v>
      </c>
      <c r="L338" s="16" t="s">
        <v>1456</v>
      </c>
      <c r="M338" s="16" t="s">
        <v>1457</v>
      </c>
      <c r="N338" s="16" t="s">
        <v>1458</v>
      </c>
      <c r="O338" s="16" t="s">
        <v>1459</v>
      </c>
      <c r="P338" s="16" t="s">
        <v>1122</v>
      </c>
      <c r="Q338" s="16" t="s">
        <v>1486</v>
      </c>
      <c r="R338" s="16" t="s">
        <v>1498</v>
      </c>
    </row>
    <row r="339" spans="1:18" x14ac:dyDescent="0.35">
      <c r="A339" s="27"/>
      <c r="B339" s="41"/>
      <c r="C339" s="41"/>
      <c r="D339" s="50"/>
      <c r="E339" s="50"/>
      <c r="F339" s="50"/>
      <c r="G339" s="50"/>
      <c r="H339" s="50"/>
      <c r="I339" s="50"/>
      <c r="J339" s="50"/>
      <c r="K339" s="41"/>
      <c r="L339" s="50"/>
      <c r="M339" s="50"/>
      <c r="N339" s="50"/>
      <c r="O339" s="50"/>
      <c r="P339" s="50"/>
      <c r="Q339" s="50"/>
      <c r="R339" s="50"/>
    </row>
    <row r="340" spans="1:18" x14ac:dyDescent="0.35">
      <c r="A340" s="26">
        <v>1</v>
      </c>
      <c r="B340" s="8" t="s">
        <v>1520</v>
      </c>
      <c r="C340" s="41" t="str">
        <f>VLOOKUP(B340,'Project Resource Master'!C:N,5,0)</f>
        <v>HVAC Works</v>
      </c>
      <c r="D340" s="50">
        <v>1</v>
      </c>
      <c r="E340" s="50">
        <v>1</v>
      </c>
      <c r="F340" s="50">
        <v>1</v>
      </c>
      <c r="G340" s="50">
        <v>1</v>
      </c>
      <c r="H340" s="50">
        <v>1</v>
      </c>
      <c r="I340" s="50">
        <v>1</v>
      </c>
      <c r="J340" s="50">
        <f>PRODUCT(D340:I340)</f>
        <v>1</v>
      </c>
      <c r="K340" s="41" t="str">
        <f>VLOOKUP(B340,'Project Resource Master'!C:N,6,0)</f>
        <v>L/s</v>
      </c>
      <c r="L340" s="50">
        <f>VLOOKUP(B340,'Project Resource Master'!C:N,11,0)</f>
        <v>0</v>
      </c>
      <c r="M340" s="50">
        <f>J340*L340</f>
        <v>0</v>
      </c>
      <c r="N340" s="50">
        <f>+J340+M340</f>
        <v>1</v>
      </c>
      <c r="O340" s="50">
        <f>VLOOKUP(B340,'Project Resource Master'!C:N,12,0)</f>
        <v>100000</v>
      </c>
      <c r="P340" s="50">
        <f>+O340*N340</f>
        <v>100000</v>
      </c>
      <c r="Q340" s="50">
        <f>+N340*B336</f>
        <v>1</v>
      </c>
      <c r="R340" s="50">
        <f>Q340*O340</f>
        <v>100000</v>
      </c>
    </row>
    <row r="341" spans="1:18" x14ac:dyDescent="0.35">
      <c r="A341" s="27"/>
      <c r="B341" s="41"/>
      <c r="C341" s="41"/>
      <c r="D341" s="50"/>
      <c r="E341" s="50"/>
      <c r="F341" s="50"/>
      <c r="G341" s="50"/>
      <c r="H341" s="50"/>
      <c r="I341" s="50"/>
      <c r="J341" s="50"/>
      <c r="K341" s="41"/>
      <c r="L341" s="50"/>
      <c r="M341" s="50"/>
      <c r="N341" s="50"/>
      <c r="O341" s="50"/>
      <c r="P341" s="50"/>
      <c r="Q341" s="50"/>
      <c r="R341" s="50"/>
    </row>
    <row r="342" spans="1:18" s="14" customFormat="1" x14ac:dyDescent="0.35">
      <c r="A342" s="29" t="str">
        <f>B334</f>
        <v>6c</v>
      </c>
      <c r="B342" s="7"/>
      <c r="C342" s="7" t="s">
        <v>1485</v>
      </c>
      <c r="D342" s="51"/>
      <c r="E342" s="51"/>
      <c r="F342" s="51"/>
      <c r="G342" s="51"/>
      <c r="H342" s="51"/>
      <c r="I342" s="51"/>
      <c r="J342" s="51"/>
      <c r="K342" s="7"/>
      <c r="L342" s="51"/>
      <c r="M342" s="51"/>
      <c r="N342" s="51"/>
      <c r="O342" s="51"/>
      <c r="P342" s="51">
        <f>SUM(P339:P341)</f>
        <v>100000</v>
      </c>
      <c r="Q342" s="51"/>
      <c r="R342" s="51">
        <f>SUM(R339:R341)</f>
        <v>100000</v>
      </c>
    </row>
    <row r="345" spans="1:18" x14ac:dyDescent="0.35">
      <c r="A345" s="29" t="s">
        <v>1348</v>
      </c>
      <c r="B345" s="49" t="s">
        <v>1415</v>
      </c>
      <c r="C345" s="41"/>
      <c r="D345" s="50"/>
      <c r="E345" s="50"/>
      <c r="F345" s="50"/>
      <c r="G345" s="50"/>
      <c r="H345" s="50"/>
      <c r="I345" s="50"/>
      <c r="J345" s="50"/>
      <c r="K345" s="41"/>
      <c r="L345" s="50"/>
      <c r="M345" s="50"/>
      <c r="N345" s="50"/>
      <c r="O345" s="50"/>
      <c r="P345" s="50"/>
      <c r="Q345" s="50"/>
      <c r="R345" s="50"/>
    </row>
    <row r="346" spans="1:18" ht="29" x14ac:dyDescent="0.35">
      <c r="A346" s="29" t="s">
        <v>1450</v>
      </c>
      <c r="B346" s="49" t="str">
        <f>VLOOKUP(B345,'Working BOQ'!A:K,9,0)</f>
        <v>Elevators</v>
      </c>
      <c r="C346" s="41"/>
      <c r="D346" s="50"/>
      <c r="E346" s="50"/>
      <c r="F346" s="50"/>
      <c r="G346" s="50"/>
      <c r="H346" s="50"/>
      <c r="I346" s="50"/>
      <c r="J346" s="50"/>
      <c r="K346" s="41"/>
      <c r="L346" s="50"/>
      <c r="M346" s="50"/>
      <c r="N346" s="50"/>
      <c r="O346" s="50"/>
      <c r="P346" s="50"/>
      <c r="Q346" s="50"/>
      <c r="R346" s="50"/>
    </row>
    <row r="347" spans="1:18" x14ac:dyDescent="0.35">
      <c r="A347" s="29" t="s">
        <v>1451</v>
      </c>
      <c r="B347" s="49">
        <f>VLOOKUP(B345,'Working BOQ'!A:N,14,0)</f>
        <v>1</v>
      </c>
      <c r="C347" s="41"/>
      <c r="D347" s="50"/>
      <c r="E347" s="50"/>
      <c r="F347" s="50"/>
      <c r="G347" s="50"/>
      <c r="H347" s="50"/>
      <c r="I347" s="50"/>
      <c r="J347" s="50"/>
      <c r="K347" s="41"/>
      <c r="L347" s="50"/>
      <c r="M347" s="50"/>
      <c r="N347" s="50"/>
      <c r="O347" s="50"/>
      <c r="P347" s="50"/>
      <c r="Q347" s="50"/>
      <c r="R347" s="50"/>
    </row>
    <row r="348" spans="1:18" x14ac:dyDescent="0.35">
      <c r="A348" s="29" t="s">
        <v>1</v>
      </c>
      <c r="B348" s="49" t="str">
        <f>VLOOKUP(B345,'Working BOQ'!A:K,11,0)</f>
        <v>L/s</v>
      </c>
      <c r="C348" s="41"/>
      <c r="D348" s="50"/>
      <c r="E348" s="50"/>
      <c r="F348" s="50"/>
      <c r="G348" s="50"/>
      <c r="H348" s="50"/>
      <c r="I348" s="50"/>
      <c r="J348" s="50"/>
      <c r="K348" s="41"/>
      <c r="L348" s="50"/>
      <c r="M348" s="50"/>
      <c r="N348" s="50"/>
      <c r="O348" s="50"/>
      <c r="P348" s="50"/>
      <c r="Q348" s="50"/>
      <c r="R348" s="50"/>
    </row>
    <row r="349" spans="1:18" s="6" customFormat="1" x14ac:dyDescent="0.35">
      <c r="A349" s="24" t="s">
        <v>110</v>
      </c>
      <c r="B349" s="5" t="s">
        <v>112</v>
      </c>
      <c r="C349" s="5" t="s">
        <v>111</v>
      </c>
      <c r="D349" s="16" t="s">
        <v>1200</v>
      </c>
      <c r="E349" s="16" t="s">
        <v>1200</v>
      </c>
      <c r="F349" s="16" t="s">
        <v>1452</v>
      </c>
      <c r="G349" s="16" t="s">
        <v>1453</v>
      </c>
      <c r="H349" s="16" t="s">
        <v>1454</v>
      </c>
      <c r="I349" s="16" t="s">
        <v>1455</v>
      </c>
      <c r="J349" s="16" t="s">
        <v>3</v>
      </c>
      <c r="K349" s="5" t="s">
        <v>1</v>
      </c>
      <c r="L349" s="16" t="s">
        <v>1456</v>
      </c>
      <c r="M349" s="16" t="s">
        <v>1457</v>
      </c>
      <c r="N349" s="16" t="s">
        <v>1458</v>
      </c>
      <c r="O349" s="16" t="s">
        <v>1459</v>
      </c>
      <c r="P349" s="16" t="s">
        <v>1122</v>
      </c>
      <c r="Q349" s="16" t="s">
        <v>1486</v>
      </c>
      <c r="R349" s="16" t="s">
        <v>1498</v>
      </c>
    </row>
    <row r="350" spans="1:18" x14ac:dyDescent="0.35">
      <c r="A350" s="27"/>
      <c r="B350" s="41"/>
      <c r="C350" s="41"/>
      <c r="D350" s="50"/>
      <c r="E350" s="50"/>
      <c r="F350" s="50"/>
      <c r="G350" s="50"/>
      <c r="H350" s="50"/>
      <c r="I350" s="50"/>
      <c r="J350" s="50"/>
      <c r="K350" s="41"/>
      <c r="L350" s="50"/>
      <c r="M350" s="50"/>
      <c r="N350" s="50"/>
      <c r="O350" s="50"/>
      <c r="P350" s="50"/>
      <c r="Q350" s="50"/>
      <c r="R350" s="50"/>
    </row>
    <row r="351" spans="1:18" x14ac:dyDescent="0.35">
      <c r="A351" s="26">
        <v>1</v>
      </c>
      <c r="B351" s="8" t="s">
        <v>1521</v>
      </c>
      <c r="C351" s="41" t="str">
        <f>VLOOKUP(B351,'Project Resource Master'!C:N,5,0)</f>
        <v>Elevators</v>
      </c>
      <c r="D351" s="50">
        <v>1</v>
      </c>
      <c r="E351" s="50">
        <v>1</v>
      </c>
      <c r="F351" s="50">
        <v>1</v>
      </c>
      <c r="G351" s="50">
        <v>1</v>
      </c>
      <c r="H351" s="50">
        <v>1</v>
      </c>
      <c r="I351" s="50">
        <v>1</v>
      </c>
      <c r="J351" s="50">
        <f>PRODUCT(D351:I351)</f>
        <v>1</v>
      </c>
      <c r="K351" s="41" t="str">
        <f>VLOOKUP(B351,'Project Resource Master'!C:N,6,0)</f>
        <v>L/s</v>
      </c>
      <c r="L351" s="50">
        <f>VLOOKUP(B351,'Project Resource Master'!C:N,11,0)</f>
        <v>0</v>
      </c>
      <c r="M351" s="50">
        <f>J351*L351</f>
        <v>0</v>
      </c>
      <c r="N351" s="50">
        <f>+J351+M351</f>
        <v>1</v>
      </c>
      <c r="O351" s="50">
        <f>VLOOKUP(B351,'Project Resource Master'!C:N,12,0)</f>
        <v>100000</v>
      </c>
      <c r="P351" s="50">
        <f>+O351*N351</f>
        <v>100000</v>
      </c>
      <c r="Q351" s="50">
        <f>+N351*B347</f>
        <v>1</v>
      </c>
      <c r="R351" s="50">
        <f>Q351*O351</f>
        <v>100000</v>
      </c>
    </row>
    <row r="352" spans="1:18" x14ac:dyDescent="0.35">
      <c r="A352" s="27"/>
      <c r="B352" s="41"/>
      <c r="C352" s="41"/>
      <c r="D352" s="50"/>
      <c r="E352" s="50"/>
      <c r="F352" s="50"/>
      <c r="G352" s="50"/>
      <c r="H352" s="50"/>
      <c r="I352" s="50"/>
      <c r="J352" s="50"/>
      <c r="K352" s="41"/>
      <c r="L352" s="50"/>
      <c r="M352" s="50"/>
      <c r="N352" s="50"/>
      <c r="O352" s="50"/>
      <c r="P352" s="50"/>
      <c r="Q352" s="50"/>
      <c r="R352" s="50"/>
    </row>
    <row r="353" spans="1:18" s="14" customFormat="1" x14ac:dyDescent="0.35">
      <c r="A353" s="29" t="str">
        <f>B345</f>
        <v>6d</v>
      </c>
      <c r="B353" s="7"/>
      <c r="C353" s="7" t="s">
        <v>1485</v>
      </c>
      <c r="D353" s="51"/>
      <c r="E353" s="51"/>
      <c r="F353" s="51"/>
      <c r="G353" s="51"/>
      <c r="H353" s="51"/>
      <c r="I353" s="51"/>
      <c r="J353" s="51"/>
      <c r="K353" s="7"/>
      <c r="L353" s="51"/>
      <c r="M353" s="51"/>
      <c r="N353" s="51"/>
      <c r="O353" s="51"/>
      <c r="P353" s="51">
        <f>SUM(P350:P352)</f>
        <v>100000</v>
      </c>
      <c r="Q353" s="51"/>
      <c r="R353" s="51">
        <f>SUM(R350:R352)</f>
        <v>100000</v>
      </c>
    </row>
    <row r="356" spans="1:18" x14ac:dyDescent="0.35">
      <c r="A356" s="29" t="s">
        <v>1348</v>
      </c>
      <c r="B356" s="49" t="s">
        <v>1416</v>
      </c>
      <c r="C356" s="41"/>
      <c r="D356" s="50"/>
      <c r="E356" s="50"/>
      <c r="F356" s="50"/>
      <c r="G356" s="50"/>
      <c r="H356" s="50"/>
      <c r="I356" s="50"/>
      <c r="J356" s="50"/>
      <c r="K356" s="41"/>
      <c r="L356" s="50"/>
      <c r="M356" s="50"/>
      <c r="N356" s="50"/>
      <c r="O356" s="50"/>
      <c r="P356" s="50"/>
      <c r="Q356" s="50"/>
      <c r="R356" s="50"/>
    </row>
    <row r="357" spans="1:18" ht="29" x14ac:dyDescent="0.35">
      <c r="A357" s="29" t="s">
        <v>1450</v>
      </c>
      <c r="B357" s="49" t="str">
        <f>VLOOKUP(B356,'Working BOQ'!A:K,9,0)</f>
        <v>IT Systems</v>
      </c>
      <c r="C357" s="41"/>
      <c r="D357" s="50"/>
      <c r="E357" s="50"/>
      <c r="F357" s="50"/>
      <c r="G357" s="50"/>
      <c r="H357" s="50"/>
      <c r="I357" s="50"/>
      <c r="J357" s="50"/>
      <c r="K357" s="41"/>
      <c r="L357" s="50"/>
      <c r="M357" s="50"/>
      <c r="N357" s="50"/>
      <c r="O357" s="50"/>
      <c r="P357" s="50"/>
      <c r="Q357" s="50"/>
      <c r="R357" s="50"/>
    </row>
    <row r="358" spans="1:18" x14ac:dyDescent="0.35">
      <c r="A358" s="29" t="s">
        <v>1451</v>
      </c>
      <c r="B358" s="49">
        <f>VLOOKUP(B356,'Working BOQ'!A:N,14,0)</f>
        <v>1</v>
      </c>
      <c r="C358" s="41"/>
      <c r="D358" s="50"/>
      <c r="E358" s="50"/>
      <c r="F358" s="50"/>
      <c r="G358" s="50"/>
      <c r="H358" s="50"/>
      <c r="I358" s="50"/>
      <c r="J358" s="50"/>
      <c r="K358" s="41"/>
      <c r="L358" s="50"/>
      <c r="M358" s="50"/>
      <c r="N358" s="50"/>
      <c r="O358" s="50"/>
      <c r="P358" s="50"/>
      <c r="Q358" s="50"/>
      <c r="R358" s="50"/>
    </row>
    <row r="359" spans="1:18" x14ac:dyDescent="0.35">
      <c r="A359" s="29" t="s">
        <v>1</v>
      </c>
      <c r="B359" s="49" t="str">
        <f>VLOOKUP(B356,'Working BOQ'!A:K,11,0)</f>
        <v>L/s</v>
      </c>
      <c r="C359" s="41"/>
      <c r="D359" s="50"/>
      <c r="E359" s="50"/>
      <c r="F359" s="50"/>
      <c r="G359" s="50"/>
      <c r="H359" s="50"/>
      <c r="I359" s="50"/>
      <c r="J359" s="50"/>
      <c r="K359" s="41"/>
      <c r="L359" s="50"/>
      <c r="M359" s="50"/>
      <c r="N359" s="50"/>
      <c r="O359" s="50"/>
      <c r="P359" s="50"/>
      <c r="Q359" s="50"/>
      <c r="R359" s="50"/>
    </row>
    <row r="360" spans="1:18" s="6" customFormat="1" x14ac:dyDescent="0.35">
      <c r="A360" s="24" t="s">
        <v>110</v>
      </c>
      <c r="B360" s="5" t="s">
        <v>112</v>
      </c>
      <c r="C360" s="5" t="s">
        <v>111</v>
      </c>
      <c r="D360" s="16" t="s">
        <v>1200</v>
      </c>
      <c r="E360" s="16" t="s">
        <v>1200</v>
      </c>
      <c r="F360" s="16" t="s">
        <v>1452</v>
      </c>
      <c r="G360" s="16" t="s">
        <v>1453</v>
      </c>
      <c r="H360" s="16" t="s">
        <v>1454</v>
      </c>
      <c r="I360" s="16" t="s">
        <v>1455</v>
      </c>
      <c r="J360" s="16" t="s">
        <v>3</v>
      </c>
      <c r="K360" s="5" t="s">
        <v>1</v>
      </c>
      <c r="L360" s="16" t="s">
        <v>1456</v>
      </c>
      <c r="M360" s="16" t="s">
        <v>1457</v>
      </c>
      <c r="N360" s="16" t="s">
        <v>1458</v>
      </c>
      <c r="O360" s="16" t="s">
        <v>1459</v>
      </c>
      <c r="P360" s="16" t="s">
        <v>1122</v>
      </c>
      <c r="Q360" s="16" t="s">
        <v>1486</v>
      </c>
      <c r="R360" s="16" t="s">
        <v>1498</v>
      </c>
    </row>
    <row r="361" spans="1:18" x14ac:dyDescent="0.35">
      <c r="A361" s="27"/>
      <c r="B361" s="41"/>
      <c r="C361" s="41"/>
      <c r="D361" s="50"/>
      <c r="E361" s="50"/>
      <c r="F361" s="50"/>
      <c r="G361" s="50"/>
      <c r="H361" s="50"/>
      <c r="I361" s="50"/>
      <c r="J361" s="50"/>
      <c r="K361" s="41"/>
      <c r="L361" s="50"/>
      <c r="M361" s="50"/>
      <c r="N361" s="50"/>
      <c r="O361" s="50"/>
      <c r="P361" s="50"/>
      <c r="Q361" s="50"/>
      <c r="R361" s="50"/>
    </row>
    <row r="362" spans="1:18" x14ac:dyDescent="0.35">
      <c r="A362" s="26">
        <v>1</v>
      </c>
      <c r="B362" s="8" t="s">
        <v>1522</v>
      </c>
      <c r="C362" s="41" t="str">
        <f>VLOOKUP(B362,'Project Resource Master'!C:N,5,0)</f>
        <v>IT Systems</v>
      </c>
      <c r="D362" s="50">
        <v>1</v>
      </c>
      <c r="E362" s="50">
        <v>1</v>
      </c>
      <c r="F362" s="50">
        <v>1</v>
      </c>
      <c r="G362" s="50">
        <v>1</v>
      </c>
      <c r="H362" s="50">
        <v>1</v>
      </c>
      <c r="I362" s="50">
        <v>1</v>
      </c>
      <c r="J362" s="50">
        <f>PRODUCT(D362:I362)</f>
        <v>1</v>
      </c>
      <c r="K362" s="41" t="str">
        <f>VLOOKUP(B362,'Project Resource Master'!C:N,6,0)</f>
        <v>L/s</v>
      </c>
      <c r="L362" s="50">
        <f>VLOOKUP(B362,'Project Resource Master'!C:N,11,0)</f>
        <v>0</v>
      </c>
      <c r="M362" s="50">
        <f>J362*L362</f>
        <v>0</v>
      </c>
      <c r="N362" s="50">
        <f>+J362+M362</f>
        <v>1</v>
      </c>
      <c r="O362" s="50">
        <f>VLOOKUP(B362,'Project Resource Master'!C:N,12,0)</f>
        <v>100000</v>
      </c>
      <c r="P362" s="50">
        <f>+O362*N362</f>
        <v>100000</v>
      </c>
      <c r="Q362" s="50">
        <f>+N362*B358</f>
        <v>1</v>
      </c>
      <c r="R362" s="50">
        <f>Q362*O362</f>
        <v>100000</v>
      </c>
    </row>
    <row r="363" spans="1:18" x14ac:dyDescent="0.35">
      <c r="A363" s="27"/>
      <c r="B363" s="41"/>
      <c r="C363" s="41"/>
      <c r="D363" s="50"/>
      <c r="E363" s="50"/>
      <c r="F363" s="50"/>
      <c r="G363" s="50"/>
      <c r="H363" s="50"/>
      <c r="I363" s="50"/>
      <c r="J363" s="50"/>
      <c r="K363" s="41"/>
      <c r="L363" s="50"/>
      <c r="M363" s="50"/>
      <c r="N363" s="50"/>
      <c r="O363" s="50"/>
      <c r="P363" s="50"/>
      <c r="Q363" s="50"/>
      <c r="R363" s="50"/>
    </row>
    <row r="364" spans="1:18" s="14" customFormat="1" x14ac:dyDescent="0.35">
      <c r="A364" s="29" t="str">
        <f>B356</f>
        <v>6e</v>
      </c>
      <c r="B364" s="7"/>
      <c r="C364" s="7" t="s">
        <v>1485</v>
      </c>
      <c r="D364" s="51"/>
      <c r="E364" s="51"/>
      <c r="F364" s="51"/>
      <c r="G364" s="51"/>
      <c r="H364" s="51"/>
      <c r="I364" s="51"/>
      <c r="J364" s="51"/>
      <c r="K364" s="7"/>
      <c r="L364" s="51"/>
      <c r="M364" s="51"/>
      <c r="N364" s="51"/>
      <c r="O364" s="51"/>
      <c r="P364" s="51">
        <f>SUM(P361:P363)</f>
        <v>100000</v>
      </c>
      <c r="Q364" s="51"/>
      <c r="R364" s="51">
        <f>SUM(R361:R363)</f>
        <v>100000</v>
      </c>
    </row>
    <row r="367" spans="1:18" x14ac:dyDescent="0.35">
      <c r="A367" s="29" t="s">
        <v>1348</v>
      </c>
      <c r="B367" s="49" t="s">
        <v>1417</v>
      </c>
      <c r="C367" s="41"/>
      <c r="D367" s="50"/>
      <c r="E367" s="50"/>
      <c r="F367" s="50"/>
      <c r="G367" s="50"/>
      <c r="H367" s="50"/>
      <c r="I367" s="50"/>
      <c r="J367" s="50"/>
      <c r="K367" s="41"/>
      <c r="L367" s="50"/>
      <c r="M367" s="50"/>
      <c r="N367" s="50"/>
      <c r="O367" s="50"/>
      <c r="P367" s="50"/>
      <c r="Q367" s="50"/>
      <c r="R367" s="50"/>
    </row>
    <row r="368" spans="1:18" ht="29" x14ac:dyDescent="0.35">
      <c r="A368" s="29" t="s">
        <v>1450</v>
      </c>
      <c r="B368" s="49" t="str">
        <f>VLOOKUP(B367,'Working BOQ'!A:K,9,0)</f>
        <v>CCTV Systems</v>
      </c>
      <c r="C368" s="41"/>
      <c r="D368" s="50"/>
      <c r="E368" s="50"/>
      <c r="F368" s="50"/>
      <c r="G368" s="50"/>
      <c r="H368" s="50"/>
      <c r="I368" s="50"/>
      <c r="J368" s="50"/>
      <c r="K368" s="41"/>
      <c r="L368" s="50"/>
      <c r="M368" s="50"/>
      <c r="N368" s="50"/>
      <c r="O368" s="50"/>
      <c r="P368" s="50"/>
      <c r="Q368" s="50"/>
      <c r="R368" s="50"/>
    </row>
    <row r="369" spans="1:18" x14ac:dyDescent="0.35">
      <c r="A369" s="29" t="s">
        <v>1451</v>
      </c>
      <c r="B369" s="49">
        <f>VLOOKUP(B367,'Working BOQ'!A:N,14,0)</f>
        <v>1</v>
      </c>
      <c r="C369" s="41"/>
      <c r="D369" s="50"/>
      <c r="E369" s="50"/>
      <c r="F369" s="50"/>
      <c r="G369" s="50"/>
      <c r="H369" s="50"/>
      <c r="I369" s="50"/>
      <c r="J369" s="50"/>
      <c r="K369" s="41"/>
      <c r="L369" s="50"/>
      <c r="M369" s="50"/>
      <c r="N369" s="50"/>
      <c r="O369" s="50"/>
      <c r="P369" s="50"/>
      <c r="Q369" s="50"/>
      <c r="R369" s="50"/>
    </row>
    <row r="370" spans="1:18" x14ac:dyDescent="0.35">
      <c r="A370" s="29" t="s">
        <v>1</v>
      </c>
      <c r="B370" s="49" t="str">
        <f>VLOOKUP(B367,'Working BOQ'!A:K,11,0)</f>
        <v>L/s</v>
      </c>
      <c r="C370" s="41"/>
      <c r="D370" s="50"/>
      <c r="E370" s="50"/>
      <c r="F370" s="50"/>
      <c r="G370" s="50"/>
      <c r="H370" s="50"/>
      <c r="I370" s="50"/>
      <c r="J370" s="50"/>
      <c r="K370" s="41"/>
      <c r="L370" s="50"/>
      <c r="M370" s="50"/>
      <c r="N370" s="50"/>
      <c r="O370" s="50"/>
      <c r="P370" s="50"/>
      <c r="Q370" s="50"/>
      <c r="R370" s="50"/>
    </row>
    <row r="371" spans="1:18" s="6" customFormat="1" x14ac:dyDescent="0.35">
      <c r="A371" s="24" t="s">
        <v>110</v>
      </c>
      <c r="B371" s="5" t="s">
        <v>112</v>
      </c>
      <c r="C371" s="5" t="s">
        <v>111</v>
      </c>
      <c r="D371" s="16" t="s">
        <v>1200</v>
      </c>
      <c r="E371" s="16" t="s">
        <v>1200</v>
      </c>
      <c r="F371" s="16" t="s">
        <v>1452</v>
      </c>
      <c r="G371" s="16" t="s">
        <v>1453</v>
      </c>
      <c r="H371" s="16" t="s">
        <v>1454</v>
      </c>
      <c r="I371" s="16" t="s">
        <v>1455</v>
      </c>
      <c r="J371" s="16" t="s">
        <v>3</v>
      </c>
      <c r="K371" s="5" t="s">
        <v>1</v>
      </c>
      <c r="L371" s="16" t="s">
        <v>1456</v>
      </c>
      <c r="M371" s="16" t="s">
        <v>1457</v>
      </c>
      <c r="N371" s="16" t="s">
        <v>1458</v>
      </c>
      <c r="O371" s="16" t="s">
        <v>1459</v>
      </c>
      <c r="P371" s="16" t="s">
        <v>1122</v>
      </c>
      <c r="Q371" s="16" t="s">
        <v>1486</v>
      </c>
      <c r="R371" s="16" t="s">
        <v>1498</v>
      </c>
    </row>
    <row r="372" spans="1:18" x14ac:dyDescent="0.35">
      <c r="A372" s="27"/>
      <c r="B372" s="41"/>
      <c r="C372" s="41"/>
      <c r="D372" s="50"/>
      <c r="E372" s="50"/>
      <c r="F372" s="50"/>
      <c r="G372" s="50"/>
      <c r="H372" s="50"/>
      <c r="I372" s="50"/>
      <c r="J372" s="50"/>
      <c r="K372" s="41"/>
      <c r="L372" s="50"/>
      <c r="M372" s="50"/>
      <c r="N372" s="50"/>
      <c r="O372" s="50"/>
      <c r="P372" s="50"/>
      <c r="Q372" s="50"/>
      <c r="R372" s="50"/>
    </row>
    <row r="373" spans="1:18" x14ac:dyDescent="0.35">
      <c r="A373" s="26">
        <v>1</v>
      </c>
      <c r="B373" s="8" t="s">
        <v>1523</v>
      </c>
      <c r="C373" s="41" t="str">
        <f>VLOOKUP(B373,'Project Resource Master'!C:N,5,0)</f>
        <v>CCTV Systems</v>
      </c>
      <c r="D373" s="50">
        <v>1</v>
      </c>
      <c r="E373" s="50">
        <v>1</v>
      </c>
      <c r="F373" s="50">
        <v>1</v>
      </c>
      <c r="G373" s="50">
        <v>1</v>
      </c>
      <c r="H373" s="50">
        <v>1</v>
      </c>
      <c r="I373" s="50">
        <v>1</v>
      </c>
      <c r="J373" s="50">
        <f>PRODUCT(D373:I373)</f>
        <v>1</v>
      </c>
      <c r="K373" s="41" t="str">
        <f>VLOOKUP(B373,'Project Resource Master'!C:N,6,0)</f>
        <v>L/s</v>
      </c>
      <c r="L373" s="50">
        <f>VLOOKUP(B373,'Project Resource Master'!C:N,11,0)</f>
        <v>0</v>
      </c>
      <c r="M373" s="50">
        <f>J373*L373</f>
        <v>0</v>
      </c>
      <c r="N373" s="50">
        <f>+J373+M373</f>
        <v>1</v>
      </c>
      <c r="O373" s="50">
        <f>VLOOKUP(B373,'Project Resource Master'!C:N,12,0)</f>
        <v>100000</v>
      </c>
      <c r="P373" s="50">
        <f>+O373*N373</f>
        <v>100000</v>
      </c>
      <c r="Q373" s="50">
        <f>+N373*B369</f>
        <v>1</v>
      </c>
      <c r="R373" s="50">
        <f>Q373*O373</f>
        <v>100000</v>
      </c>
    </row>
    <row r="374" spans="1:18" x14ac:dyDescent="0.35">
      <c r="A374" s="27"/>
      <c r="B374" s="41"/>
      <c r="C374" s="41"/>
      <c r="D374" s="50"/>
      <c r="E374" s="50"/>
      <c r="F374" s="50"/>
      <c r="G374" s="50"/>
      <c r="H374" s="50"/>
      <c r="I374" s="50"/>
      <c r="J374" s="50"/>
      <c r="K374" s="41"/>
      <c r="L374" s="50"/>
      <c r="M374" s="50"/>
      <c r="N374" s="50"/>
      <c r="O374" s="50"/>
      <c r="P374" s="50"/>
      <c r="Q374" s="50"/>
      <c r="R374" s="50"/>
    </row>
    <row r="375" spans="1:18" s="14" customFormat="1" x14ac:dyDescent="0.35">
      <c r="A375" s="29" t="str">
        <f>B367</f>
        <v>6f</v>
      </c>
      <c r="B375" s="7"/>
      <c r="C375" s="7" t="s">
        <v>1485</v>
      </c>
      <c r="D375" s="51"/>
      <c r="E375" s="51"/>
      <c r="F375" s="51"/>
      <c r="G375" s="51"/>
      <c r="H375" s="51"/>
      <c r="I375" s="51"/>
      <c r="J375" s="51"/>
      <c r="K375" s="7"/>
      <c r="L375" s="51"/>
      <c r="M375" s="51"/>
      <c r="N375" s="51"/>
      <c r="O375" s="51"/>
      <c r="P375" s="51">
        <f>SUM(P372:P374)</f>
        <v>100000</v>
      </c>
      <c r="Q375" s="51"/>
      <c r="R375" s="51">
        <f>SUM(R372:R374)</f>
        <v>100000</v>
      </c>
    </row>
    <row r="378" spans="1:18" x14ac:dyDescent="0.35">
      <c r="A378" s="29" t="s">
        <v>1348</v>
      </c>
      <c r="B378" s="49" t="s">
        <v>1525</v>
      </c>
      <c r="C378" s="41"/>
      <c r="D378" s="50"/>
      <c r="E378" s="50"/>
      <c r="F378" s="50"/>
      <c r="G378" s="50"/>
      <c r="H378" s="50"/>
      <c r="I378" s="50"/>
      <c r="J378" s="50"/>
      <c r="K378" s="41"/>
      <c r="L378" s="50"/>
      <c r="M378" s="50"/>
      <c r="N378" s="50"/>
      <c r="O378" s="50"/>
      <c r="P378" s="50"/>
      <c r="Q378" s="50"/>
      <c r="R378" s="50"/>
    </row>
    <row r="379" spans="1:18" ht="29" x14ac:dyDescent="0.35">
      <c r="A379" s="29" t="s">
        <v>1450</v>
      </c>
      <c r="B379" s="49" t="str">
        <f>VLOOKUP(B378,'Working BOQ'!A:K,9,0)</f>
        <v>Signage Works</v>
      </c>
      <c r="C379" s="41"/>
      <c r="D379" s="50"/>
      <c r="E379" s="50"/>
      <c r="F379" s="50"/>
      <c r="G379" s="50"/>
      <c r="H379" s="50"/>
      <c r="I379" s="50"/>
      <c r="J379" s="50"/>
      <c r="K379" s="41"/>
      <c r="L379" s="50"/>
      <c r="M379" s="50"/>
      <c r="N379" s="50"/>
      <c r="O379" s="50"/>
      <c r="P379" s="50"/>
      <c r="Q379" s="50"/>
      <c r="R379" s="50"/>
    </row>
    <row r="380" spans="1:18" x14ac:dyDescent="0.35">
      <c r="A380" s="29" t="s">
        <v>1451</v>
      </c>
      <c r="B380" s="49">
        <f>VLOOKUP(B378,'Working BOQ'!A:N,14,0)</f>
        <v>1</v>
      </c>
      <c r="C380" s="41"/>
      <c r="D380" s="50"/>
      <c r="E380" s="50"/>
      <c r="F380" s="50"/>
      <c r="G380" s="50"/>
      <c r="H380" s="50"/>
      <c r="I380" s="50"/>
      <c r="J380" s="50"/>
      <c r="K380" s="41"/>
      <c r="L380" s="50"/>
      <c r="M380" s="50"/>
      <c r="N380" s="50"/>
      <c r="O380" s="50"/>
      <c r="P380" s="50"/>
      <c r="Q380" s="50"/>
      <c r="R380" s="50"/>
    </row>
    <row r="381" spans="1:18" x14ac:dyDescent="0.35">
      <c r="A381" s="29" t="s">
        <v>1</v>
      </c>
      <c r="B381" s="49" t="str">
        <f>VLOOKUP(B378,'Working BOQ'!A:K,11,0)</f>
        <v>L/s</v>
      </c>
      <c r="C381" s="41"/>
      <c r="D381" s="50"/>
      <c r="E381" s="50"/>
      <c r="F381" s="50"/>
      <c r="G381" s="50"/>
      <c r="H381" s="50"/>
      <c r="I381" s="50"/>
      <c r="J381" s="50"/>
      <c r="K381" s="41"/>
      <c r="L381" s="50"/>
      <c r="M381" s="50"/>
      <c r="N381" s="50"/>
      <c r="O381" s="50"/>
      <c r="P381" s="50"/>
      <c r="Q381" s="50"/>
      <c r="R381" s="50"/>
    </row>
    <row r="382" spans="1:18" s="6" customFormat="1" x14ac:dyDescent="0.35">
      <c r="A382" s="24" t="s">
        <v>110</v>
      </c>
      <c r="B382" s="5" t="s">
        <v>112</v>
      </c>
      <c r="C382" s="5" t="s">
        <v>111</v>
      </c>
      <c r="D382" s="16" t="s">
        <v>1200</v>
      </c>
      <c r="E382" s="16" t="s">
        <v>1200</v>
      </c>
      <c r="F382" s="16" t="s">
        <v>1452</v>
      </c>
      <c r="G382" s="16" t="s">
        <v>1453</v>
      </c>
      <c r="H382" s="16" t="s">
        <v>1454</v>
      </c>
      <c r="I382" s="16" t="s">
        <v>1455</v>
      </c>
      <c r="J382" s="16" t="s">
        <v>3</v>
      </c>
      <c r="K382" s="5" t="s">
        <v>1</v>
      </c>
      <c r="L382" s="16" t="s">
        <v>1456</v>
      </c>
      <c r="M382" s="16" t="s">
        <v>1457</v>
      </c>
      <c r="N382" s="16" t="s">
        <v>1458</v>
      </c>
      <c r="O382" s="16" t="s">
        <v>1459</v>
      </c>
      <c r="P382" s="16" t="s">
        <v>1122</v>
      </c>
      <c r="Q382" s="16" t="s">
        <v>1486</v>
      </c>
      <c r="R382" s="16" t="s">
        <v>1498</v>
      </c>
    </row>
    <row r="383" spans="1:18" x14ac:dyDescent="0.35">
      <c r="A383" s="27"/>
      <c r="B383" s="41"/>
      <c r="C383" s="41"/>
      <c r="D383" s="50"/>
      <c r="E383" s="50"/>
      <c r="F383" s="50"/>
      <c r="G383" s="50"/>
      <c r="H383" s="50"/>
      <c r="I383" s="50"/>
      <c r="J383" s="50"/>
      <c r="K383" s="41"/>
      <c r="L383" s="50"/>
      <c r="M383" s="50"/>
      <c r="N383" s="50"/>
      <c r="O383" s="50"/>
      <c r="P383" s="50"/>
      <c r="Q383" s="50"/>
      <c r="R383" s="50"/>
    </row>
    <row r="384" spans="1:18" x14ac:dyDescent="0.35">
      <c r="A384" s="26">
        <v>1</v>
      </c>
      <c r="B384" s="8" t="s">
        <v>1524</v>
      </c>
      <c r="C384" s="41" t="str">
        <f>VLOOKUP(B384,'Project Resource Master'!C:N,5,0)</f>
        <v>Signage Works</v>
      </c>
      <c r="D384" s="50">
        <v>1</v>
      </c>
      <c r="E384" s="50">
        <v>1</v>
      </c>
      <c r="F384" s="50">
        <v>1</v>
      </c>
      <c r="G384" s="50">
        <v>1</v>
      </c>
      <c r="H384" s="50">
        <v>1</v>
      </c>
      <c r="I384" s="50">
        <v>1</v>
      </c>
      <c r="J384" s="50">
        <f>PRODUCT(D384:I384)</f>
        <v>1</v>
      </c>
      <c r="K384" s="41" t="str">
        <f>VLOOKUP(B384,'Project Resource Master'!C:N,6,0)</f>
        <v>L/s</v>
      </c>
      <c r="L384" s="50">
        <f>VLOOKUP(B384,'Project Resource Master'!C:N,11,0)</f>
        <v>0</v>
      </c>
      <c r="M384" s="50">
        <f>J384*L384</f>
        <v>0</v>
      </c>
      <c r="N384" s="50">
        <f>+J384+M384</f>
        <v>1</v>
      </c>
      <c r="O384" s="50">
        <f>VLOOKUP(B384,'Project Resource Master'!C:N,12,0)</f>
        <v>100000</v>
      </c>
      <c r="P384" s="50">
        <f>+O384*N384</f>
        <v>100000</v>
      </c>
      <c r="Q384" s="50">
        <f>+N384*B380</f>
        <v>1</v>
      </c>
      <c r="R384" s="50">
        <f>Q384*O384</f>
        <v>100000</v>
      </c>
    </row>
    <row r="385" spans="1:18" x14ac:dyDescent="0.35">
      <c r="A385" s="27"/>
      <c r="B385" s="41"/>
      <c r="C385" s="41"/>
      <c r="D385" s="50"/>
      <c r="E385" s="50"/>
      <c r="F385" s="50"/>
      <c r="G385" s="50"/>
      <c r="H385" s="50"/>
      <c r="I385" s="50"/>
      <c r="J385" s="50"/>
      <c r="K385" s="41"/>
      <c r="L385" s="50"/>
      <c r="M385" s="50"/>
      <c r="N385" s="50"/>
      <c r="O385" s="50"/>
      <c r="P385" s="50"/>
      <c r="Q385" s="50"/>
      <c r="R385" s="50"/>
    </row>
    <row r="386" spans="1:18" s="14" customFormat="1" x14ac:dyDescent="0.35">
      <c r="A386" s="29" t="str">
        <f>B378</f>
        <v>6g</v>
      </c>
      <c r="B386" s="7"/>
      <c r="C386" s="7" t="s">
        <v>1485</v>
      </c>
      <c r="D386" s="51"/>
      <c r="E386" s="51"/>
      <c r="F386" s="51"/>
      <c r="G386" s="51"/>
      <c r="H386" s="51"/>
      <c r="I386" s="51"/>
      <c r="J386" s="51"/>
      <c r="K386" s="7"/>
      <c r="L386" s="51"/>
      <c r="M386" s="51"/>
      <c r="N386" s="51"/>
      <c r="O386" s="51"/>
      <c r="P386" s="51">
        <f>SUM(P383:P385)</f>
        <v>100000</v>
      </c>
      <c r="Q386" s="51"/>
      <c r="R386" s="51">
        <f>SUM(R383:R385)</f>
        <v>100000</v>
      </c>
    </row>
    <row r="388" spans="1:18" x14ac:dyDescent="0.35">
      <c r="A388" s="29" t="s">
        <v>1348</v>
      </c>
      <c r="B388" s="49" t="s">
        <v>1401</v>
      </c>
      <c r="C388" s="41"/>
      <c r="D388" s="50"/>
      <c r="E388" s="50"/>
      <c r="F388" s="50"/>
      <c r="G388" s="50"/>
      <c r="H388" s="50"/>
      <c r="I388" s="50"/>
      <c r="J388" s="50"/>
      <c r="K388" s="41"/>
      <c r="L388" s="50"/>
      <c r="M388" s="50"/>
      <c r="N388" s="50"/>
      <c r="O388" s="50"/>
      <c r="P388" s="50"/>
      <c r="Q388" s="50"/>
      <c r="R388" s="50"/>
    </row>
    <row r="389" spans="1:18" ht="29" x14ac:dyDescent="0.35">
      <c r="A389" s="29" t="s">
        <v>1450</v>
      </c>
      <c r="B389" s="49" t="str">
        <f>VLOOKUP(B388,'Working BOQ'!A:K,9,0)</f>
        <v>D1 - Door</v>
      </c>
      <c r="C389" s="41"/>
      <c r="D389" s="50"/>
      <c r="E389" s="50"/>
      <c r="F389" s="50"/>
      <c r="G389" s="50"/>
      <c r="H389" s="50"/>
      <c r="I389" s="50"/>
      <c r="J389" s="50"/>
      <c r="K389" s="41"/>
      <c r="L389" s="50"/>
      <c r="M389" s="50"/>
      <c r="N389" s="50"/>
      <c r="O389" s="50"/>
      <c r="P389" s="50"/>
      <c r="Q389" s="50"/>
      <c r="R389" s="50"/>
    </row>
    <row r="390" spans="1:18" x14ac:dyDescent="0.35">
      <c r="A390" s="29" t="s">
        <v>1451</v>
      </c>
      <c r="B390" s="49">
        <f>VLOOKUP(B388,'Working BOQ'!A:N,14,0)</f>
        <v>20</v>
      </c>
      <c r="C390" s="41"/>
      <c r="D390" s="50"/>
      <c r="E390" s="50"/>
      <c r="F390" s="50"/>
      <c r="G390" s="50"/>
      <c r="H390" s="50"/>
      <c r="I390" s="50"/>
      <c r="J390" s="50"/>
      <c r="K390" s="41"/>
      <c r="L390" s="50"/>
      <c r="M390" s="50"/>
      <c r="N390" s="50"/>
      <c r="O390" s="50"/>
      <c r="P390" s="50"/>
      <c r="Q390" s="50"/>
      <c r="R390" s="50"/>
    </row>
    <row r="391" spans="1:18" x14ac:dyDescent="0.35">
      <c r="A391" s="29" t="s">
        <v>1</v>
      </c>
      <c r="B391" s="49" t="str">
        <f>VLOOKUP(B388,'Working BOQ'!A:K,11,0)</f>
        <v>Nos</v>
      </c>
      <c r="C391" s="41"/>
      <c r="D391" s="50"/>
      <c r="E391" s="50"/>
      <c r="F391" s="50"/>
      <c r="G391" s="50"/>
      <c r="H391" s="50"/>
      <c r="I391" s="50"/>
      <c r="J391" s="50"/>
      <c r="K391" s="41"/>
      <c r="L391" s="50"/>
      <c r="M391" s="50"/>
      <c r="N391" s="50"/>
      <c r="O391" s="50"/>
      <c r="P391" s="50"/>
      <c r="Q391" s="50"/>
      <c r="R391" s="50"/>
    </row>
    <row r="392" spans="1:18" s="6" customFormat="1" x14ac:dyDescent="0.35">
      <c r="A392" s="24" t="s">
        <v>110</v>
      </c>
      <c r="B392" s="5" t="s">
        <v>112</v>
      </c>
      <c r="C392" s="5" t="s">
        <v>111</v>
      </c>
      <c r="D392" s="16" t="s">
        <v>1200</v>
      </c>
      <c r="E392" s="16" t="s">
        <v>1200</v>
      </c>
      <c r="F392" s="16" t="s">
        <v>1452</v>
      </c>
      <c r="G392" s="16" t="s">
        <v>1453</v>
      </c>
      <c r="H392" s="16" t="s">
        <v>1454</v>
      </c>
      <c r="I392" s="16" t="s">
        <v>1455</v>
      </c>
      <c r="J392" s="16" t="s">
        <v>3</v>
      </c>
      <c r="K392" s="5" t="s">
        <v>1</v>
      </c>
      <c r="L392" s="16" t="s">
        <v>1456</v>
      </c>
      <c r="M392" s="16" t="s">
        <v>1457</v>
      </c>
      <c r="N392" s="16" t="s">
        <v>1458</v>
      </c>
      <c r="O392" s="16" t="s">
        <v>1459</v>
      </c>
      <c r="P392" s="16" t="s">
        <v>1122</v>
      </c>
      <c r="Q392" s="16" t="s">
        <v>1486</v>
      </c>
      <c r="R392" s="16" t="s">
        <v>1498</v>
      </c>
    </row>
    <row r="393" spans="1:18" x14ac:dyDescent="0.35">
      <c r="A393" s="27"/>
      <c r="B393" s="41"/>
      <c r="C393" s="41"/>
      <c r="D393" s="50"/>
      <c r="E393" s="50"/>
      <c r="F393" s="50"/>
      <c r="G393" s="50"/>
      <c r="H393" s="50"/>
      <c r="I393" s="50"/>
      <c r="J393" s="50"/>
      <c r="K393" s="41"/>
      <c r="L393" s="50"/>
      <c r="M393" s="50"/>
      <c r="N393" s="50"/>
      <c r="O393" s="50"/>
      <c r="P393" s="50"/>
      <c r="Q393" s="50"/>
      <c r="R393" s="50"/>
    </row>
    <row r="394" spans="1:18" x14ac:dyDescent="0.35">
      <c r="A394" s="26">
        <v>1</v>
      </c>
      <c r="B394" s="8" t="s">
        <v>1530</v>
      </c>
      <c r="C394" s="41" t="str">
        <f>VLOOKUP(B394,'Project Resource Master'!C:N,5,0)</f>
        <v>44mm thick NON FR Solid Door Core</v>
      </c>
      <c r="D394" s="50">
        <v>1</v>
      </c>
      <c r="E394" s="50">
        <v>1</v>
      </c>
      <c r="F394" s="50">
        <v>1</v>
      </c>
      <c r="G394" s="50">
        <v>1</v>
      </c>
      <c r="H394" s="50">
        <v>1</v>
      </c>
      <c r="I394" s="50">
        <v>1</v>
      </c>
      <c r="J394" s="50">
        <f>PRODUCT(D394:I394)</f>
        <v>1</v>
      </c>
      <c r="K394" s="41" t="str">
        <f>VLOOKUP(B394,'Project Resource Master'!C:N,6,0)</f>
        <v>board</v>
      </c>
      <c r="L394" s="50">
        <f>VLOOKUP(B394,'Project Resource Master'!C:N,11,0)</f>
        <v>0.05</v>
      </c>
      <c r="M394" s="50">
        <f>J394*L394</f>
        <v>0.05</v>
      </c>
      <c r="N394" s="50">
        <f>+J394+M394</f>
        <v>1.05</v>
      </c>
      <c r="O394" s="50">
        <f>VLOOKUP(B394,'Project Resource Master'!C:N,12,0)</f>
        <v>50</v>
      </c>
      <c r="P394" s="50">
        <f>+O394*N394</f>
        <v>52.5</v>
      </c>
      <c r="Q394" s="50">
        <f>+N394*B390</f>
        <v>21</v>
      </c>
      <c r="R394" s="50">
        <f>Q394*O394</f>
        <v>1050</v>
      </c>
    </row>
    <row r="395" spans="1:18" x14ac:dyDescent="0.35">
      <c r="A395" s="26">
        <v>2</v>
      </c>
      <c r="B395" s="8" t="s">
        <v>1527</v>
      </c>
      <c r="C395" s="41" t="str">
        <f>VLOOKUP(B395,'Project Resource Master'!C:N,5,0)</f>
        <v>Ash veneer - Q-Cut</v>
      </c>
      <c r="D395" s="50">
        <v>2</v>
      </c>
      <c r="E395" s="50">
        <v>1</v>
      </c>
      <c r="F395" s="50">
        <v>1</v>
      </c>
      <c r="G395" s="50">
        <v>1</v>
      </c>
      <c r="H395" s="50">
        <v>2</v>
      </c>
      <c r="I395" s="50">
        <v>1</v>
      </c>
      <c r="J395" s="50">
        <f>PRODUCT(D395:I395)</f>
        <v>4</v>
      </c>
      <c r="K395" s="41" t="str">
        <f>VLOOKUP(B395,'Project Resource Master'!C:N,6,0)</f>
        <v>sqm</v>
      </c>
      <c r="L395" s="50">
        <f>VLOOKUP(B395,'Project Resource Master'!C:N,11,0)</f>
        <v>0.05</v>
      </c>
      <c r="M395" s="50">
        <f>J395*L395</f>
        <v>0.2</v>
      </c>
      <c r="N395" s="50">
        <f>+J395+M395</f>
        <v>4.2</v>
      </c>
      <c r="O395" s="50">
        <f>VLOOKUP(B395,'Project Resource Master'!C:N,12,0)</f>
        <v>80</v>
      </c>
      <c r="P395" s="50">
        <f>+O395*N395</f>
        <v>336</v>
      </c>
      <c r="Q395" s="50">
        <f>+N395*B390</f>
        <v>84</v>
      </c>
      <c r="R395" s="50">
        <f>Q395*O395</f>
        <v>6720</v>
      </c>
    </row>
    <row r="396" spans="1:18" x14ac:dyDescent="0.35">
      <c r="A396" s="26">
        <v>3</v>
      </c>
      <c r="B396" s="8" t="s">
        <v>1528</v>
      </c>
      <c r="C396" s="41" t="str">
        <f>VLOOKUP(B396,'Project Resource Master'!C:N,5,0)</f>
        <v>Balancer Veneer</v>
      </c>
      <c r="D396" s="50">
        <v>2</v>
      </c>
      <c r="E396" s="50">
        <v>1</v>
      </c>
      <c r="F396" s="50">
        <v>1</v>
      </c>
      <c r="G396" s="50">
        <v>1</v>
      </c>
      <c r="H396" s="50">
        <v>2</v>
      </c>
      <c r="I396" s="50">
        <v>1</v>
      </c>
      <c r="J396" s="50">
        <f>PRODUCT(D396:I396)</f>
        <v>4</v>
      </c>
      <c r="K396" s="41" t="str">
        <f>VLOOKUP(B396,'Project Resource Master'!C:N,6,0)</f>
        <v>sqm</v>
      </c>
      <c r="L396" s="50">
        <f>VLOOKUP(B396,'Project Resource Master'!C:N,11,0)</f>
        <v>0.05</v>
      </c>
      <c r="M396" s="50">
        <f>J396*L396</f>
        <v>0.2</v>
      </c>
      <c r="N396" s="50">
        <f>+J396+M396</f>
        <v>4.2</v>
      </c>
      <c r="O396" s="50">
        <f>VLOOKUP(B396,'Project Resource Master'!C:N,12,0)</f>
        <v>50</v>
      </c>
      <c r="P396" s="50">
        <f>+O396*N396</f>
        <v>210</v>
      </c>
      <c r="Q396" s="50">
        <f>+N396*B390</f>
        <v>84</v>
      </c>
      <c r="R396" s="50">
        <f>Q396*O396</f>
        <v>4200</v>
      </c>
    </row>
    <row r="397" spans="1:18" x14ac:dyDescent="0.35">
      <c r="A397" s="26">
        <v>4</v>
      </c>
      <c r="B397" s="8" t="s">
        <v>1526</v>
      </c>
      <c r="C397" s="41" t="str">
        <f>VLOOKUP(B397,'Project Resource Master'!C:N,5,0)</f>
        <v>Ash wood - 2" x 8" - AD</v>
      </c>
      <c r="D397" s="50">
        <v>2.5</v>
      </c>
      <c r="E397" s="50">
        <v>1</v>
      </c>
      <c r="F397" s="50">
        <v>8</v>
      </c>
      <c r="G397" s="50">
        <f>10/12</f>
        <v>0.83333333333333337</v>
      </c>
      <c r="H397" s="50">
        <f>2/12</f>
        <v>0.16666666666666666</v>
      </c>
      <c r="I397" s="50">
        <v>1</v>
      </c>
      <c r="J397" s="50">
        <f>PRODUCT(D397:I397)</f>
        <v>2.7777777777777777</v>
      </c>
      <c r="K397" s="41" t="str">
        <f>VLOOKUP(B397,'Project Resource Master'!C:N,6,0)</f>
        <v>cft</v>
      </c>
      <c r="L397" s="50">
        <f>VLOOKUP(B397,'Project Resource Master'!C:N,11,0)</f>
        <v>0.1</v>
      </c>
      <c r="M397" s="50">
        <f>J397*L397</f>
        <v>0.27777777777777779</v>
      </c>
      <c r="N397" s="50">
        <f>+J397+M397</f>
        <v>3.0555555555555554</v>
      </c>
      <c r="O397" s="50">
        <f>VLOOKUP(B397,'Project Resource Master'!C:N,12,0)</f>
        <v>50</v>
      </c>
      <c r="P397" s="50">
        <f>+O397*N397</f>
        <v>152.77777777777777</v>
      </c>
      <c r="Q397" s="50">
        <f>+N397*B390</f>
        <v>61.111111111111107</v>
      </c>
      <c r="R397" s="50">
        <f>Q397*O397</f>
        <v>3055.5555555555552</v>
      </c>
    </row>
    <row r="398" spans="1:18" x14ac:dyDescent="0.35">
      <c r="A398" s="26">
        <v>5</v>
      </c>
      <c r="B398" s="8" t="s">
        <v>1497</v>
      </c>
      <c r="C398" s="41" t="str">
        <f>VLOOKUP(B398,'Project Resource Master'!C:N,5,0)</f>
        <v>Helper</v>
      </c>
      <c r="D398" s="50">
        <v>10</v>
      </c>
      <c r="E398" s="50">
        <v>2</v>
      </c>
      <c r="F398" s="50">
        <v>1</v>
      </c>
      <c r="G398" s="50">
        <v>1</v>
      </c>
      <c r="H398" s="50">
        <v>1</v>
      </c>
      <c r="I398" s="50">
        <v>1</v>
      </c>
      <c r="J398" s="50">
        <f>PRODUCT(D398:I398)</f>
        <v>20</v>
      </c>
      <c r="K398" s="41" t="str">
        <f>VLOOKUP(B398,'Project Resource Master'!C:N,6,0)</f>
        <v>hr</v>
      </c>
      <c r="L398" s="50">
        <f>VLOOKUP(B398,'Project Resource Master'!C:N,11,0)</f>
        <v>0.2</v>
      </c>
      <c r="M398" s="50">
        <f>J398*L398</f>
        <v>4</v>
      </c>
      <c r="N398" s="50">
        <f>+J398+M398</f>
        <v>24</v>
      </c>
      <c r="O398" s="50">
        <f>VLOOKUP(B398,'Project Resource Master'!C:N,12,0)</f>
        <v>100</v>
      </c>
      <c r="P398" s="50">
        <f>+O398*N398</f>
        <v>2400</v>
      </c>
      <c r="Q398" s="50">
        <f>+N398*B390</f>
        <v>480</v>
      </c>
      <c r="R398" s="50">
        <f>Q398*O398</f>
        <v>48000</v>
      </c>
    </row>
    <row r="399" spans="1:18" x14ac:dyDescent="0.35">
      <c r="A399" s="26">
        <v>6</v>
      </c>
      <c r="B399" s="8" t="s">
        <v>1496</v>
      </c>
      <c r="C399" s="41" t="str">
        <f>VLOOKUP(B399,'Project Resource Master'!C:N,5,0)</f>
        <v>Carpenter</v>
      </c>
      <c r="D399" s="50">
        <v>10</v>
      </c>
      <c r="E399" s="50">
        <v>2</v>
      </c>
      <c r="F399" s="50">
        <v>1</v>
      </c>
      <c r="G399" s="50">
        <v>1</v>
      </c>
      <c r="H399" s="50">
        <v>1</v>
      </c>
      <c r="I399" s="50">
        <v>1</v>
      </c>
      <c r="J399" s="50">
        <f>PRODUCT(D399:I399)</f>
        <v>20</v>
      </c>
      <c r="K399" s="41" t="str">
        <f>VLOOKUP(B399,'Project Resource Master'!C:N,6,0)</f>
        <v>hr</v>
      </c>
      <c r="L399" s="50">
        <f>VLOOKUP(B399,'Project Resource Master'!C:N,11,0)</f>
        <v>0.2</v>
      </c>
      <c r="M399" s="50">
        <f>J399*L399</f>
        <v>4</v>
      </c>
      <c r="N399" s="50">
        <f>+J399+M399</f>
        <v>24</v>
      </c>
      <c r="O399" s="50">
        <f>VLOOKUP(B399,'Project Resource Master'!C:N,12,0)</f>
        <v>100</v>
      </c>
      <c r="P399" s="50">
        <f>+O399*N399</f>
        <v>2400</v>
      </c>
      <c r="Q399" s="50">
        <f>+N399*B390</f>
        <v>480</v>
      </c>
      <c r="R399" s="50">
        <f>Q399*O399</f>
        <v>48000</v>
      </c>
    </row>
    <row r="400" spans="1:18" x14ac:dyDescent="0.35">
      <c r="A400" s="27"/>
      <c r="B400" s="41"/>
      <c r="C400" s="41"/>
      <c r="D400" s="50"/>
      <c r="E400" s="50"/>
      <c r="F400" s="50"/>
      <c r="G400" s="50"/>
      <c r="H400" s="50"/>
      <c r="I400" s="50"/>
      <c r="J400" s="50"/>
      <c r="K400" s="41"/>
      <c r="L400" s="50"/>
      <c r="M400" s="50"/>
      <c r="N400" s="50"/>
      <c r="O400" s="50"/>
      <c r="P400" s="50"/>
      <c r="Q400" s="50"/>
      <c r="R400" s="50"/>
    </row>
    <row r="401" spans="1:18" s="14" customFormat="1" x14ac:dyDescent="0.35">
      <c r="A401" s="29" t="str">
        <f>B388</f>
        <v>5a</v>
      </c>
      <c r="B401" s="7"/>
      <c r="C401" s="7" t="s">
        <v>1485</v>
      </c>
      <c r="D401" s="51"/>
      <c r="E401" s="51"/>
      <c r="F401" s="51"/>
      <c r="G401" s="51"/>
      <c r="H401" s="51"/>
      <c r="I401" s="51"/>
      <c r="J401" s="51"/>
      <c r="K401" s="7"/>
      <c r="L401" s="51"/>
      <c r="M401" s="51"/>
      <c r="N401" s="51"/>
      <c r="O401" s="51"/>
      <c r="P401" s="51">
        <f>SUM(P393:P400)</f>
        <v>5551.2777777777774</v>
      </c>
      <c r="Q401" s="51"/>
      <c r="R401" s="51">
        <f>SUM(R393:R400)</f>
        <v>111025.55555555556</v>
      </c>
    </row>
    <row r="404" spans="1:18" x14ac:dyDescent="0.35">
      <c r="A404" s="29" t="s">
        <v>1348</v>
      </c>
      <c r="B404" s="49" t="s">
        <v>1402</v>
      </c>
      <c r="C404" s="41"/>
      <c r="D404" s="50"/>
      <c r="E404" s="50"/>
      <c r="F404" s="50"/>
      <c r="G404" s="50"/>
      <c r="H404" s="50"/>
      <c r="I404" s="50"/>
      <c r="J404" s="50"/>
      <c r="K404" s="41"/>
      <c r="L404" s="50"/>
      <c r="M404" s="50"/>
      <c r="N404" s="50"/>
      <c r="O404" s="50"/>
      <c r="P404" s="50"/>
      <c r="Q404" s="50"/>
      <c r="R404" s="50"/>
    </row>
    <row r="405" spans="1:18" ht="29" x14ac:dyDescent="0.35">
      <c r="A405" s="29" t="s">
        <v>1450</v>
      </c>
      <c r="B405" s="49" t="str">
        <f>VLOOKUP(B404,'Working BOQ'!A:K,9,0)</f>
        <v>D2 - Door</v>
      </c>
      <c r="C405" s="41"/>
      <c r="D405" s="50"/>
      <c r="E405" s="50"/>
      <c r="F405" s="50"/>
      <c r="G405" s="50"/>
      <c r="H405" s="50"/>
      <c r="I405" s="50"/>
      <c r="J405" s="50"/>
      <c r="K405" s="41"/>
      <c r="L405" s="50"/>
      <c r="M405" s="50"/>
      <c r="N405" s="50"/>
      <c r="O405" s="50"/>
      <c r="P405" s="50"/>
      <c r="Q405" s="50"/>
      <c r="R405" s="50"/>
    </row>
    <row r="406" spans="1:18" x14ac:dyDescent="0.35">
      <c r="A406" s="29" t="s">
        <v>1451</v>
      </c>
      <c r="B406" s="49">
        <f>VLOOKUP(B404,'Working BOQ'!A:N,14,0)</f>
        <v>20</v>
      </c>
      <c r="C406" s="41"/>
      <c r="D406" s="50"/>
      <c r="E406" s="50"/>
      <c r="F406" s="50"/>
      <c r="G406" s="50"/>
      <c r="H406" s="50"/>
      <c r="I406" s="50"/>
      <c r="J406" s="50"/>
      <c r="K406" s="41"/>
      <c r="L406" s="50"/>
      <c r="M406" s="50"/>
      <c r="N406" s="50"/>
      <c r="O406" s="50"/>
      <c r="P406" s="50"/>
      <c r="Q406" s="50"/>
      <c r="R406" s="50"/>
    </row>
    <row r="407" spans="1:18" x14ac:dyDescent="0.35">
      <c r="A407" s="29" t="s">
        <v>1</v>
      </c>
      <c r="B407" s="49" t="str">
        <f>VLOOKUP(B404,'Working BOQ'!A:K,11,0)</f>
        <v>Nos</v>
      </c>
      <c r="C407" s="41"/>
      <c r="D407" s="50"/>
      <c r="E407" s="50"/>
      <c r="F407" s="50"/>
      <c r="G407" s="50"/>
      <c r="H407" s="50"/>
      <c r="I407" s="50"/>
      <c r="J407" s="50"/>
      <c r="K407" s="41"/>
      <c r="L407" s="50"/>
      <c r="M407" s="50"/>
      <c r="N407" s="50"/>
      <c r="O407" s="50"/>
      <c r="P407" s="50"/>
      <c r="Q407" s="50"/>
      <c r="R407" s="50"/>
    </row>
    <row r="408" spans="1:18" s="6" customFormat="1" x14ac:dyDescent="0.35">
      <c r="A408" s="24" t="s">
        <v>110</v>
      </c>
      <c r="B408" s="5" t="s">
        <v>112</v>
      </c>
      <c r="C408" s="5" t="s">
        <v>111</v>
      </c>
      <c r="D408" s="16" t="s">
        <v>1200</v>
      </c>
      <c r="E408" s="16" t="s">
        <v>1200</v>
      </c>
      <c r="F408" s="16" t="s">
        <v>1452</v>
      </c>
      <c r="G408" s="16" t="s">
        <v>1453</v>
      </c>
      <c r="H408" s="16" t="s">
        <v>1454</v>
      </c>
      <c r="I408" s="16" t="s">
        <v>1455</v>
      </c>
      <c r="J408" s="16" t="s">
        <v>3</v>
      </c>
      <c r="K408" s="5" t="s">
        <v>1</v>
      </c>
      <c r="L408" s="16" t="s">
        <v>1456</v>
      </c>
      <c r="M408" s="16" t="s">
        <v>1457</v>
      </c>
      <c r="N408" s="16" t="s">
        <v>1458</v>
      </c>
      <c r="O408" s="16" t="s">
        <v>1459</v>
      </c>
      <c r="P408" s="16" t="s">
        <v>1122</v>
      </c>
      <c r="Q408" s="16" t="s">
        <v>1486</v>
      </c>
      <c r="R408" s="16" t="s">
        <v>1498</v>
      </c>
    </row>
    <row r="409" spans="1:18" x14ac:dyDescent="0.35">
      <c r="A409" s="27"/>
      <c r="B409" s="41"/>
      <c r="C409" s="41"/>
      <c r="D409" s="50"/>
      <c r="E409" s="50"/>
      <c r="F409" s="50"/>
      <c r="G409" s="50"/>
      <c r="H409" s="50"/>
      <c r="I409" s="50"/>
      <c r="J409" s="50"/>
      <c r="K409" s="41"/>
      <c r="L409" s="50"/>
      <c r="M409" s="50"/>
      <c r="N409" s="50"/>
      <c r="O409" s="50"/>
      <c r="P409" s="50"/>
      <c r="Q409" s="50"/>
      <c r="R409" s="50"/>
    </row>
    <row r="410" spans="1:18" x14ac:dyDescent="0.35">
      <c r="A410" s="26">
        <v>1</v>
      </c>
      <c r="B410" s="8" t="s">
        <v>1531</v>
      </c>
      <c r="C410" s="41" t="str">
        <f>VLOOKUP(B410,'Project Resource Master'!C:N,5,0)</f>
        <v>44mm thick NON FR Hollow Door Core</v>
      </c>
      <c r="D410" s="50">
        <v>1</v>
      </c>
      <c r="E410" s="50">
        <v>2</v>
      </c>
      <c r="F410" s="50">
        <v>1</v>
      </c>
      <c r="G410" s="50">
        <v>1</v>
      </c>
      <c r="H410" s="50">
        <v>1</v>
      </c>
      <c r="I410" s="50">
        <v>1</v>
      </c>
      <c r="J410" s="50">
        <f>PRODUCT(D410:I410)</f>
        <v>2</v>
      </c>
      <c r="K410" s="41" t="str">
        <f>VLOOKUP(B410,'Project Resource Master'!C:N,6,0)</f>
        <v>board</v>
      </c>
      <c r="L410" s="50">
        <f>VLOOKUP(B410,'Project Resource Master'!C:N,11,0)</f>
        <v>0.1</v>
      </c>
      <c r="M410" s="50">
        <f>J410*L410</f>
        <v>0.2</v>
      </c>
      <c r="N410" s="50">
        <f>+J410+M410</f>
        <v>2.2000000000000002</v>
      </c>
      <c r="O410" s="50">
        <f>VLOOKUP(B410,'Project Resource Master'!C:N,12,0)</f>
        <v>50</v>
      </c>
      <c r="P410" s="50">
        <f>+O410*N410</f>
        <v>110.00000000000001</v>
      </c>
      <c r="Q410" s="50">
        <f>+N410*B406</f>
        <v>44</v>
      </c>
      <c r="R410" s="50">
        <f>Q410*O410</f>
        <v>2200</v>
      </c>
    </row>
    <row r="411" spans="1:18" x14ac:dyDescent="0.35">
      <c r="A411" s="26">
        <v>2</v>
      </c>
      <c r="B411" s="8" t="s">
        <v>1529</v>
      </c>
      <c r="C411" s="41" t="str">
        <f>VLOOKUP(B411,'Project Resource Master'!C:N,5,0)</f>
        <v>Beech veneer - Q-Cut</v>
      </c>
      <c r="D411" s="50">
        <v>2</v>
      </c>
      <c r="E411" s="50">
        <v>2</v>
      </c>
      <c r="F411" s="50">
        <v>1</v>
      </c>
      <c r="G411" s="50">
        <v>1</v>
      </c>
      <c r="H411" s="50">
        <v>2</v>
      </c>
      <c r="I411" s="50">
        <v>1</v>
      </c>
      <c r="J411" s="50">
        <f>PRODUCT(D411:I411)</f>
        <v>8</v>
      </c>
      <c r="K411" s="41" t="str">
        <f>VLOOKUP(B411,'Project Resource Master'!C:N,6,0)</f>
        <v>sqm</v>
      </c>
      <c r="L411" s="50">
        <f>VLOOKUP(B411,'Project Resource Master'!C:N,11,0)</f>
        <v>0.1</v>
      </c>
      <c r="M411" s="50">
        <f>J411*L411</f>
        <v>0.8</v>
      </c>
      <c r="N411" s="50">
        <f>+J411+M411</f>
        <v>8.8000000000000007</v>
      </c>
      <c r="O411" s="50">
        <f>VLOOKUP(B411,'Project Resource Master'!C:N,12,0)</f>
        <v>50</v>
      </c>
      <c r="P411" s="50">
        <f>+O411*N411</f>
        <v>440.00000000000006</v>
      </c>
      <c r="Q411" s="50">
        <f>+N411*B406</f>
        <v>176</v>
      </c>
      <c r="R411" s="50">
        <f>Q411*O411</f>
        <v>8800</v>
      </c>
    </row>
    <row r="412" spans="1:18" x14ac:dyDescent="0.35">
      <c r="A412" s="26">
        <v>3</v>
      </c>
      <c r="B412" s="8" t="s">
        <v>1528</v>
      </c>
      <c r="C412" s="41" t="str">
        <f>VLOOKUP(B412,'Project Resource Master'!C:N,5,0)</f>
        <v>Balancer Veneer</v>
      </c>
      <c r="D412" s="50">
        <v>2</v>
      </c>
      <c r="E412" s="50">
        <v>2</v>
      </c>
      <c r="F412" s="50">
        <v>1</v>
      </c>
      <c r="G412" s="50">
        <v>1</v>
      </c>
      <c r="H412" s="50">
        <v>2</v>
      </c>
      <c r="I412" s="50">
        <v>1</v>
      </c>
      <c r="J412" s="50">
        <f>PRODUCT(D412:I412)</f>
        <v>8</v>
      </c>
      <c r="K412" s="41" t="str">
        <f>VLOOKUP(B412,'Project Resource Master'!C:N,6,0)</f>
        <v>sqm</v>
      </c>
      <c r="L412" s="50">
        <f>VLOOKUP(B412,'Project Resource Master'!C:N,11,0)</f>
        <v>0.05</v>
      </c>
      <c r="M412" s="50">
        <f>J412*L412</f>
        <v>0.4</v>
      </c>
      <c r="N412" s="50">
        <f>+J412+M412</f>
        <v>8.4</v>
      </c>
      <c r="O412" s="50">
        <f>VLOOKUP(B412,'Project Resource Master'!C:N,12,0)</f>
        <v>50</v>
      </c>
      <c r="P412" s="50">
        <f>+O412*N412</f>
        <v>420</v>
      </c>
      <c r="Q412" s="50">
        <f>+N412*B406</f>
        <v>168</v>
      </c>
      <c r="R412" s="50">
        <f>Q412*O412</f>
        <v>8400</v>
      </c>
    </row>
    <row r="413" spans="1:18" x14ac:dyDescent="0.35">
      <c r="A413" s="26">
        <v>4</v>
      </c>
      <c r="B413" s="8" t="s">
        <v>1534</v>
      </c>
      <c r="C413" s="41" t="str">
        <f>VLOOKUP(B413,'Project Resource Master'!C:N,5,0)</f>
        <v>Beech wood - 2" x 8" - KD</v>
      </c>
      <c r="D413" s="50">
        <v>2.5</v>
      </c>
      <c r="E413" s="50">
        <v>2</v>
      </c>
      <c r="F413" s="50">
        <v>8</v>
      </c>
      <c r="G413" s="50">
        <f>10/12</f>
        <v>0.83333333333333337</v>
      </c>
      <c r="H413" s="50">
        <f>2/12</f>
        <v>0.16666666666666666</v>
      </c>
      <c r="I413" s="50">
        <v>1</v>
      </c>
      <c r="J413" s="50">
        <f>PRODUCT(D413:I413)</f>
        <v>5.5555555555555554</v>
      </c>
      <c r="K413" s="41" t="str">
        <f>VLOOKUP(B413,'Project Resource Master'!C:N,6,0)</f>
        <v>cft</v>
      </c>
      <c r="L413" s="50">
        <f>VLOOKUP(B413,'Project Resource Master'!C:N,11,0)</f>
        <v>0.1</v>
      </c>
      <c r="M413" s="50">
        <f>J413*L413</f>
        <v>0.55555555555555558</v>
      </c>
      <c r="N413" s="50">
        <f>+J413+M413</f>
        <v>6.1111111111111107</v>
      </c>
      <c r="O413" s="50">
        <f>VLOOKUP(B413,'Project Resource Master'!C:N,12,0)</f>
        <v>50</v>
      </c>
      <c r="P413" s="50">
        <f>+O413*N413</f>
        <v>305.55555555555554</v>
      </c>
      <c r="Q413" s="50">
        <f>+N413*B406</f>
        <v>122.22222222222221</v>
      </c>
      <c r="R413" s="50">
        <f>Q413*O413</f>
        <v>6111.1111111111104</v>
      </c>
    </row>
    <row r="414" spans="1:18" x14ac:dyDescent="0.35">
      <c r="A414" s="26">
        <v>5</v>
      </c>
      <c r="B414" s="8" t="s">
        <v>1497</v>
      </c>
      <c r="C414" s="41" t="str">
        <f>VLOOKUP(B414,'Project Resource Master'!C:N,5,0)</f>
        <v>Helper</v>
      </c>
      <c r="D414" s="50">
        <v>15</v>
      </c>
      <c r="E414" s="50">
        <v>2</v>
      </c>
      <c r="F414" s="50">
        <v>1</v>
      </c>
      <c r="G414" s="50">
        <v>1</v>
      </c>
      <c r="H414" s="50">
        <v>1</v>
      </c>
      <c r="I414" s="50">
        <v>1</v>
      </c>
      <c r="J414" s="50">
        <f>PRODUCT(D414:I414)</f>
        <v>30</v>
      </c>
      <c r="K414" s="41" t="str">
        <f>VLOOKUP(B414,'Project Resource Master'!C:N,6,0)</f>
        <v>hr</v>
      </c>
      <c r="L414" s="50">
        <f>VLOOKUP(B414,'Project Resource Master'!C:N,11,0)</f>
        <v>0.2</v>
      </c>
      <c r="M414" s="50">
        <f>J414*L414</f>
        <v>6</v>
      </c>
      <c r="N414" s="50">
        <f>+J414+M414</f>
        <v>36</v>
      </c>
      <c r="O414" s="50">
        <f>VLOOKUP(B414,'Project Resource Master'!C:N,12,0)</f>
        <v>100</v>
      </c>
      <c r="P414" s="50">
        <f>+O414*N414</f>
        <v>3600</v>
      </c>
      <c r="Q414" s="50">
        <f>+N414*B406</f>
        <v>720</v>
      </c>
      <c r="R414" s="50">
        <f>Q414*O414</f>
        <v>72000</v>
      </c>
    </row>
    <row r="415" spans="1:18" x14ac:dyDescent="0.35">
      <c r="A415" s="26">
        <v>6</v>
      </c>
      <c r="B415" s="8" t="s">
        <v>1496</v>
      </c>
      <c r="C415" s="41" t="str">
        <f>VLOOKUP(B415,'Project Resource Master'!C:N,5,0)</f>
        <v>Carpenter</v>
      </c>
      <c r="D415" s="50">
        <v>15</v>
      </c>
      <c r="E415" s="50">
        <v>2</v>
      </c>
      <c r="F415" s="50">
        <v>1</v>
      </c>
      <c r="G415" s="50">
        <v>1</v>
      </c>
      <c r="H415" s="50">
        <v>1</v>
      </c>
      <c r="I415" s="50">
        <v>1</v>
      </c>
      <c r="J415" s="50">
        <f>PRODUCT(D415:I415)</f>
        <v>30</v>
      </c>
      <c r="K415" s="41" t="str">
        <f>VLOOKUP(B415,'Project Resource Master'!C:N,6,0)</f>
        <v>hr</v>
      </c>
      <c r="L415" s="50">
        <f>VLOOKUP(B415,'Project Resource Master'!C:N,11,0)</f>
        <v>0.2</v>
      </c>
      <c r="M415" s="50">
        <f>J415*L415</f>
        <v>6</v>
      </c>
      <c r="N415" s="50">
        <f>+J415+M415</f>
        <v>36</v>
      </c>
      <c r="O415" s="50">
        <f>VLOOKUP(B415,'Project Resource Master'!C:N,12,0)</f>
        <v>100</v>
      </c>
      <c r="P415" s="50">
        <f>+O415*N415</f>
        <v>3600</v>
      </c>
      <c r="Q415" s="50">
        <f>+N415*B406</f>
        <v>720</v>
      </c>
      <c r="R415" s="50">
        <f>Q415*O415</f>
        <v>72000</v>
      </c>
    </row>
    <row r="416" spans="1:18" x14ac:dyDescent="0.35">
      <c r="A416" s="27"/>
      <c r="B416" s="41"/>
      <c r="C416" s="41"/>
      <c r="D416" s="50"/>
      <c r="E416" s="50"/>
      <c r="F416" s="50"/>
      <c r="G416" s="50"/>
      <c r="H416" s="50"/>
      <c r="I416" s="50"/>
      <c r="J416" s="50"/>
      <c r="K416" s="41"/>
      <c r="L416" s="50"/>
      <c r="M416" s="50"/>
      <c r="N416" s="50"/>
      <c r="O416" s="50"/>
      <c r="P416" s="50"/>
      <c r="Q416" s="50"/>
      <c r="R416" s="50"/>
    </row>
    <row r="417" spans="1:18" s="14" customFormat="1" x14ac:dyDescent="0.35">
      <c r="A417" s="29" t="str">
        <f>B404</f>
        <v>5b</v>
      </c>
      <c r="B417" s="7"/>
      <c r="C417" s="7" t="s">
        <v>1485</v>
      </c>
      <c r="D417" s="51"/>
      <c r="E417" s="51"/>
      <c r="F417" s="51"/>
      <c r="G417" s="51"/>
      <c r="H417" s="51"/>
      <c r="I417" s="51"/>
      <c r="J417" s="51"/>
      <c r="K417" s="7"/>
      <c r="L417" s="51"/>
      <c r="M417" s="51"/>
      <c r="N417" s="51"/>
      <c r="O417" s="51"/>
      <c r="P417" s="51">
        <f>SUM(P409:P416)</f>
        <v>8475.5555555555547</v>
      </c>
      <c r="Q417" s="51"/>
      <c r="R417" s="51">
        <f>SUM(R409:R416)</f>
        <v>169511.11111111112</v>
      </c>
    </row>
    <row r="420" spans="1:18" x14ac:dyDescent="0.35">
      <c r="A420" s="29" t="s">
        <v>1348</v>
      </c>
      <c r="B420" s="49" t="s">
        <v>1403</v>
      </c>
      <c r="C420" s="41"/>
      <c r="D420" s="50"/>
      <c r="E420" s="50"/>
      <c r="F420" s="50"/>
      <c r="G420" s="50"/>
      <c r="H420" s="50"/>
      <c r="I420" s="50"/>
      <c r="J420" s="50"/>
      <c r="K420" s="41"/>
      <c r="L420" s="50"/>
      <c r="M420" s="50"/>
      <c r="N420" s="50"/>
      <c r="O420" s="50"/>
      <c r="P420" s="50"/>
      <c r="Q420" s="50"/>
      <c r="R420" s="50"/>
    </row>
    <row r="421" spans="1:18" ht="29" x14ac:dyDescent="0.35">
      <c r="A421" s="29" t="s">
        <v>1450</v>
      </c>
      <c r="B421" s="49" t="str">
        <f>VLOOKUP(B420,'Working BOQ'!A:K,9,0)</f>
        <v>D3 - Door</v>
      </c>
      <c r="C421" s="41"/>
      <c r="D421" s="50"/>
      <c r="E421" s="50"/>
      <c r="F421" s="50"/>
      <c r="G421" s="50"/>
      <c r="H421" s="50"/>
      <c r="I421" s="50"/>
      <c r="J421" s="50"/>
      <c r="K421" s="41"/>
      <c r="L421" s="50"/>
      <c r="M421" s="50"/>
      <c r="N421" s="50"/>
      <c r="O421" s="50"/>
      <c r="P421" s="50"/>
      <c r="Q421" s="50"/>
      <c r="R421" s="50"/>
    </row>
    <row r="422" spans="1:18" x14ac:dyDescent="0.35">
      <c r="A422" s="29" t="s">
        <v>1451</v>
      </c>
      <c r="B422" s="49">
        <f>VLOOKUP(B420,'Working BOQ'!A:N,14,0)</f>
        <v>5</v>
      </c>
      <c r="C422" s="41"/>
      <c r="D422" s="50"/>
      <c r="E422" s="50"/>
      <c r="F422" s="50"/>
      <c r="G422" s="50"/>
      <c r="H422" s="50"/>
      <c r="I422" s="50"/>
      <c r="J422" s="50"/>
      <c r="K422" s="41"/>
      <c r="L422" s="50"/>
      <c r="M422" s="50"/>
      <c r="N422" s="50"/>
      <c r="O422" s="50"/>
      <c r="P422" s="50"/>
      <c r="Q422" s="50"/>
      <c r="R422" s="50"/>
    </row>
    <row r="423" spans="1:18" x14ac:dyDescent="0.35">
      <c r="A423" s="29" t="s">
        <v>1</v>
      </c>
      <c r="B423" s="49" t="str">
        <f>VLOOKUP(B420,'Working BOQ'!A:K,11,0)</f>
        <v>Nos</v>
      </c>
      <c r="C423" s="41"/>
      <c r="D423" s="50"/>
      <c r="E423" s="50"/>
      <c r="F423" s="50"/>
      <c r="G423" s="50"/>
      <c r="H423" s="50"/>
      <c r="I423" s="50"/>
      <c r="J423" s="50"/>
      <c r="K423" s="41"/>
      <c r="L423" s="50"/>
      <c r="M423" s="50"/>
      <c r="N423" s="50"/>
      <c r="O423" s="50"/>
      <c r="P423" s="50"/>
      <c r="Q423" s="50"/>
      <c r="R423" s="50"/>
    </row>
    <row r="424" spans="1:18" s="6" customFormat="1" x14ac:dyDescent="0.35">
      <c r="A424" s="24" t="s">
        <v>110</v>
      </c>
      <c r="B424" s="5" t="s">
        <v>112</v>
      </c>
      <c r="C424" s="5" t="s">
        <v>111</v>
      </c>
      <c r="D424" s="16" t="s">
        <v>1200</v>
      </c>
      <c r="E424" s="16" t="s">
        <v>1200</v>
      </c>
      <c r="F424" s="16" t="s">
        <v>1452</v>
      </c>
      <c r="G424" s="16" t="s">
        <v>1453</v>
      </c>
      <c r="H424" s="16" t="s">
        <v>1454</v>
      </c>
      <c r="I424" s="16" t="s">
        <v>1455</v>
      </c>
      <c r="J424" s="16" t="s">
        <v>3</v>
      </c>
      <c r="K424" s="5" t="s">
        <v>1</v>
      </c>
      <c r="L424" s="16" t="s">
        <v>1456</v>
      </c>
      <c r="M424" s="16" t="s">
        <v>1457</v>
      </c>
      <c r="N424" s="16" t="s">
        <v>1458</v>
      </c>
      <c r="O424" s="16" t="s">
        <v>1459</v>
      </c>
      <c r="P424" s="16" t="s">
        <v>1122</v>
      </c>
      <c r="Q424" s="16" t="s">
        <v>1486</v>
      </c>
      <c r="R424" s="16" t="s">
        <v>1498</v>
      </c>
    </row>
    <row r="425" spans="1:18" x14ac:dyDescent="0.35">
      <c r="A425" s="27"/>
      <c r="B425" s="41"/>
      <c r="C425" s="41"/>
      <c r="D425" s="50"/>
      <c r="E425" s="50"/>
      <c r="F425" s="50"/>
      <c r="G425" s="50"/>
      <c r="H425" s="50"/>
      <c r="I425" s="50"/>
      <c r="J425" s="50"/>
      <c r="K425" s="41"/>
      <c r="L425" s="50"/>
      <c r="M425" s="50"/>
      <c r="N425" s="50"/>
      <c r="O425" s="50"/>
      <c r="P425" s="50"/>
      <c r="Q425" s="50"/>
      <c r="R425" s="50"/>
    </row>
    <row r="426" spans="1:18" x14ac:dyDescent="0.35">
      <c r="A426" s="26">
        <v>1</v>
      </c>
      <c r="B426" s="8" t="s">
        <v>1530</v>
      </c>
      <c r="C426" s="41" t="str">
        <f>VLOOKUP(B426,'Project Resource Master'!C:N,5,0)</f>
        <v>44mm thick NON FR Solid Door Core</v>
      </c>
      <c r="D426" s="50">
        <v>1</v>
      </c>
      <c r="E426" s="50">
        <v>2</v>
      </c>
      <c r="F426" s="50">
        <v>1</v>
      </c>
      <c r="G426" s="50">
        <v>1</v>
      </c>
      <c r="H426" s="50">
        <v>1</v>
      </c>
      <c r="I426" s="50">
        <v>1</v>
      </c>
      <c r="J426" s="50">
        <f>PRODUCT(D426:I426)</f>
        <v>2</v>
      </c>
      <c r="K426" s="41" t="str">
        <f>VLOOKUP(B426,'Project Resource Master'!C:N,6,0)</f>
        <v>board</v>
      </c>
      <c r="L426" s="50">
        <f>VLOOKUP(B426,'Project Resource Master'!C:N,11,0)</f>
        <v>0.05</v>
      </c>
      <c r="M426" s="50">
        <f>J426*L426</f>
        <v>0.1</v>
      </c>
      <c r="N426" s="50">
        <f>+J426+M426</f>
        <v>2.1</v>
      </c>
      <c r="O426" s="50">
        <f>VLOOKUP(B426,'Project Resource Master'!C:N,12,0)</f>
        <v>50</v>
      </c>
      <c r="P426" s="50">
        <f>+O426*N426</f>
        <v>105</v>
      </c>
      <c r="Q426" s="50">
        <f>+N426*B422</f>
        <v>10.5</v>
      </c>
      <c r="R426" s="50">
        <f>Q426*O426</f>
        <v>525</v>
      </c>
    </row>
    <row r="427" spans="1:18" x14ac:dyDescent="0.35">
      <c r="A427" s="26">
        <v>2</v>
      </c>
      <c r="B427" s="8" t="s">
        <v>1529</v>
      </c>
      <c r="C427" s="41" t="str">
        <f>VLOOKUP(B427,'Project Resource Master'!C:N,5,0)</f>
        <v>Beech veneer - Q-Cut</v>
      </c>
      <c r="D427" s="50">
        <v>2</v>
      </c>
      <c r="E427" s="50">
        <v>2</v>
      </c>
      <c r="F427" s="50">
        <v>1</v>
      </c>
      <c r="G427" s="50">
        <v>1</v>
      </c>
      <c r="H427" s="50">
        <v>2</v>
      </c>
      <c r="I427" s="50">
        <v>1</v>
      </c>
      <c r="J427" s="50">
        <f>PRODUCT(D427:I427)</f>
        <v>8</v>
      </c>
      <c r="K427" s="41" t="str">
        <f>VLOOKUP(B427,'Project Resource Master'!C:N,6,0)</f>
        <v>sqm</v>
      </c>
      <c r="L427" s="50">
        <f>VLOOKUP(B427,'Project Resource Master'!C:N,11,0)</f>
        <v>0.1</v>
      </c>
      <c r="M427" s="50">
        <f>J427*L427</f>
        <v>0.8</v>
      </c>
      <c r="N427" s="50">
        <f>+J427+M427</f>
        <v>8.8000000000000007</v>
      </c>
      <c r="O427" s="50">
        <f>VLOOKUP(B427,'Project Resource Master'!C:N,12,0)</f>
        <v>50</v>
      </c>
      <c r="P427" s="50">
        <f>+O427*N427</f>
        <v>440.00000000000006</v>
      </c>
      <c r="Q427" s="50">
        <f>+N427*B422</f>
        <v>44</v>
      </c>
      <c r="R427" s="50">
        <f>Q427*O427</f>
        <v>2200</v>
      </c>
    </row>
    <row r="428" spans="1:18" x14ac:dyDescent="0.35">
      <c r="A428" s="26">
        <v>3</v>
      </c>
      <c r="B428" s="8" t="s">
        <v>1527</v>
      </c>
      <c r="C428" s="41" t="str">
        <f>VLOOKUP(B428,'Project Resource Master'!C:N,5,0)</f>
        <v>Ash veneer - Q-Cut</v>
      </c>
      <c r="D428" s="50">
        <v>2</v>
      </c>
      <c r="E428" s="50">
        <v>2</v>
      </c>
      <c r="F428" s="50">
        <v>1</v>
      </c>
      <c r="G428" s="50">
        <v>1</v>
      </c>
      <c r="H428" s="50">
        <v>2</v>
      </c>
      <c r="I428" s="50">
        <v>1</v>
      </c>
      <c r="J428" s="50">
        <f>PRODUCT(D428:I428)</f>
        <v>8</v>
      </c>
      <c r="K428" s="41" t="str">
        <f>VLOOKUP(B428,'Project Resource Master'!C:N,6,0)</f>
        <v>sqm</v>
      </c>
      <c r="L428" s="50">
        <f>VLOOKUP(B428,'Project Resource Master'!C:N,11,0)</f>
        <v>0.05</v>
      </c>
      <c r="M428" s="50">
        <f>J428*L428</f>
        <v>0.4</v>
      </c>
      <c r="N428" s="50">
        <f>+J428+M428</f>
        <v>8.4</v>
      </c>
      <c r="O428" s="50">
        <f>VLOOKUP(B428,'Project Resource Master'!C:N,12,0)</f>
        <v>80</v>
      </c>
      <c r="P428" s="50">
        <f>+O428*N428</f>
        <v>672</v>
      </c>
      <c r="Q428" s="50">
        <f>+N428*B422</f>
        <v>42</v>
      </c>
      <c r="R428" s="50">
        <f>Q428*O428</f>
        <v>3360</v>
      </c>
    </row>
    <row r="429" spans="1:18" x14ac:dyDescent="0.35">
      <c r="A429" s="26">
        <v>4</v>
      </c>
      <c r="B429" s="8" t="s">
        <v>1534</v>
      </c>
      <c r="C429" s="41" t="str">
        <f>VLOOKUP(B429,'Project Resource Master'!C:N,5,0)</f>
        <v>Beech wood - 2" x 8" - KD</v>
      </c>
      <c r="D429" s="50">
        <v>2.5</v>
      </c>
      <c r="E429" s="50">
        <v>2</v>
      </c>
      <c r="F429" s="50">
        <v>8</v>
      </c>
      <c r="G429" s="50">
        <f>10/12</f>
        <v>0.83333333333333337</v>
      </c>
      <c r="H429" s="50">
        <f>2/12</f>
        <v>0.16666666666666666</v>
      </c>
      <c r="I429" s="50">
        <v>1</v>
      </c>
      <c r="J429" s="50">
        <f>PRODUCT(D429:I429)</f>
        <v>5.5555555555555554</v>
      </c>
      <c r="K429" s="41" t="str">
        <f>VLOOKUP(B429,'Project Resource Master'!C:N,6,0)</f>
        <v>cft</v>
      </c>
      <c r="L429" s="50">
        <f>VLOOKUP(B429,'Project Resource Master'!C:N,11,0)</f>
        <v>0.1</v>
      </c>
      <c r="M429" s="50">
        <f>J429*L429</f>
        <v>0.55555555555555558</v>
      </c>
      <c r="N429" s="50">
        <f>+J429+M429</f>
        <v>6.1111111111111107</v>
      </c>
      <c r="O429" s="50">
        <f>VLOOKUP(B429,'Project Resource Master'!C:N,12,0)</f>
        <v>50</v>
      </c>
      <c r="P429" s="50">
        <f>+O429*N429</f>
        <v>305.55555555555554</v>
      </c>
      <c r="Q429" s="50">
        <f>+N429*B422</f>
        <v>30.555555555555554</v>
      </c>
      <c r="R429" s="50">
        <f>Q429*O429</f>
        <v>1527.7777777777776</v>
      </c>
    </row>
    <row r="430" spans="1:18" x14ac:dyDescent="0.35">
      <c r="A430" s="26">
        <v>4</v>
      </c>
      <c r="B430" s="8" t="s">
        <v>1526</v>
      </c>
      <c r="C430" s="41" t="str">
        <f>VLOOKUP(B430,'Project Resource Master'!C:N,5,0)</f>
        <v>Ash wood - 2" x 8" - AD</v>
      </c>
      <c r="D430" s="50">
        <v>2.5</v>
      </c>
      <c r="E430" s="50">
        <v>2</v>
      </c>
      <c r="F430" s="50">
        <v>8</v>
      </c>
      <c r="G430" s="50">
        <f>10/12</f>
        <v>0.83333333333333337</v>
      </c>
      <c r="H430" s="50">
        <f>2/12</f>
        <v>0.16666666666666666</v>
      </c>
      <c r="I430" s="50">
        <v>1</v>
      </c>
      <c r="J430" s="50">
        <f>PRODUCT(D430:I430)</f>
        <v>5.5555555555555554</v>
      </c>
      <c r="K430" s="41" t="str">
        <f>VLOOKUP(B430,'Project Resource Master'!C:N,6,0)</f>
        <v>cft</v>
      </c>
      <c r="L430" s="50">
        <f>VLOOKUP(B430,'Project Resource Master'!C:N,11,0)</f>
        <v>0.1</v>
      </c>
      <c r="M430" s="50">
        <f>J430*L430</f>
        <v>0.55555555555555558</v>
      </c>
      <c r="N430" s="50">
        <f>+J430+M430</f>
        <v>6.1111111111111107</v>
      </c>
      <c r="O430" s="50">
        <f>VLOOKUP(B430,'Project Resource Master'!C:N,12,0)</f>
        <v>50</v>
      </c>
      <c r="P430" s="50">
        <f>+O430*N430</f>
        <v>305.55555555555554</v>
      </c>
      <c r="Q430" s="50">
        <f>+N430*B422</f>
        <v>30.555555555555554</v>
      </c>
      <c r="R430" s="50">
        <f>Q430*O430</f>
        <v>1527.7777777777776</v>
      </c>
    </row>
    <row r="431" spans="1:18" x14ac:dyDescent="0.35">
      <c r="A431" s="26">
        <v>5</v>
      </c>
      <c r="B431" s="8" t="s">
        <v>1497</v>
      </c>
      <c r="C431" s="41" t="str">
        <f>VLOOKUP(B431,'Project Resource Master'!C:N,5,0)</f>
        <v>Helper</v>
      </c>
      <c r="D431" s="50">
        <v>15</v>
      </c>
      <c r="E431" s="50">
        <v>2</v>
      </c>
      <c r="F431" s="50">
        <v>1</v>
      </c>
      <c r="G431" s="50">
        <v>1</v>
      </c>
      <c r="H431" s="50">
        <v>1</v>
      </c>
      <c r="I431" s="50">
        <v>1</v>
      </c>
      <c r="J431" s="50">
        <f>PRODUCT(D431:I431)</f>
        <v>30</v>
      </c>
      <c r="K431" s="41" t="str">
        <f>VLOOKUP(B431,'Project Resource Master'!C:N,6,0)</f>
        <v>hr</v>
      </c>
      <c r="L431" s="50">
        <f>VLOOKUP(B431,'Project Resource Master'!C:N,11,0)</f>
        <v>0.2</v>
      </c>
      <c r="M431" s="50">
        <f>J431*L431</f>
        <v>6</v>
      </c>
      <c r="N431" s="50">
        <f>+J431+M431</f>
        <v>36</v>
      </c>
      <c r="O431" s="50">
        <f>VLOOKUP(B431,'Project Resource Master'!C:N,12,0)</f>
        <v>100</v>
      </c>
      <c r="P431" s="50">
        <f>+O431*N431</f>
        <v>3600</v>
      </c>
      <c r="Q431" s="50">
        <f>+N431*B422</f>
        <v>180</v>
      </c>
      <c r="R431" s="50">
        <f>Q431*O431</f>
        <v>18000</v>
      </c>
    </row>
    <row r="432" spans="1:18" x14ac:dyDescent="0.35">
      <c r="A432" s="26">
        <v>6</v>
      </c>
      <c r="B432" s="8" t="s">
        <v>1496</v>
      </c>
      <c r="C432" s="41" t="str">
        <f>VLOOKUP(B432,'Project Resource Master'!C:N,5,0)</f>
        <v>Carpenter</v>
      </c>
      <c r="D432" s="50">
        <v>15</v>
      </c>
      <c r="E432" s="50">
        <v>2</v>
      </c>
      <c r="F432" s="50">
        <v>1</v>
      </c>
      <c r="G432" s="50">
        <v>1</v>
      </c>
      <c r="H432" s="50">
        <v>1</v>
      </c>
      <c r="I432" s="50">
        <v>1</v>
      </c>
      <c r="J432" s="50">
        <f>PRODUCT(D432:I432)</f>
        <v>30</v>
      </c>
      <c r="K432" s="41" t="str">
        <f>VLOOKUP(B432,'Project Resource Master'!C:N,6,0)</f>
        <v>hr</v>
      </c>
      <c r="L432" s="50">
        <f>VLOOKUP(B432,'Project Resource Master'!C:N,11,0)</f>
        <v>0.2</v>
      </c>
      <c r="M432" s="50">
        <f>J432*L432</f>
        <v>6</v>
      </c>
      <c r="N432" s="50">
        <f>+J432+M432</f>
        <v>36</v>
      </c>
      <c r="O432" s="50">
        <f>VLOOKUP(B432,'Project Resource Master'!C:N,12,0)</f>
        <v>100</v>
      </c>
      <c r="P432" s="50">
        <f>+O432*N432</f>
        <v>3600</v>
      </c>
      <c r="Q432" s="50">
        <f>+N432*B422</f>
        <v>180</v>
      </c>
      <c r="R432" s="50">
        <f>Q432*O432</f>
        <v>18000</v>
      </c>
    </row>
    <row r="433" spans="1:18" x14ac:dyDescent="0.35">
      <c r="A433" s="27"/>
      <c r="B433" s="41"/>
      <c r="C433" s="41"/>
      <c r="D433" s="50"/>
      <c r="E433" s="50"/>
      <c r="F433" s="50"/>
      <c r="G433" s="50"/>
      <c r="H433" s="50"/>
      <c r="I433" s="50"/>
      <c r="J433" s="50"/>
      <c r="K433" s="41"/>
      <c r="L433" s="50"/>
      <c r="M433" s="50"/>
      <c r="N433" s="50"/>
      <c r="O433" s="50"/>
      <c r="P433" s="50"/>
      <c r="Q433" s="50"/>
      <c r="R433" s="50"/>
    </row>
    <row r="434" spans="1:18" s="14" customFormat="1" x14ac:dyDescent="0.35">
      <c r="A434" s="29" t="str">
        <f>B420</f>
        <v>5c</v>
      </c>
      <c r="B434" s="7"/>
      <c r="C434" s="7" t="s">
        <v>1485</v>
      </c>
      <c r="D434" s="51"/>
      <c r="E434" s="51"/>
      <c r="F434" s="51"/>
      <c r="G434" s="51"/>
      <c r="H434" s="51"/>
      <c r="I434" s="51"/>
      <c r="J434" s="51"/>
      <c r="K434" s="7"/>
      <c r="L434" s="51"/>
      <c r="M434" s="51"/>
      <c r="N434" s="51"/>
      <c r="O434" s="51"/>
      <c r="P434" s="51">
        <f>SUM(P425:P433)</f>
        <v>9028.1111111111113</v>
      </c>
      <c r="Q434" s="51"/>
      <c r="R434" s="51">
        <f>SUM(R425:R433)</f>
        <v>45140.555555555555</v>
      </c>
    </row>
    <row r="437" spans="1:18" x14ac:dyDescent="0.35">
      <c r="A437" s="29" t="s">
        <v>1348</v>
      </c>
      <c r="B437" s="49" t="s">
        <v>1404</v>
      </c>
      <c r="C437" s="41"/>
      <c r="D437" s="50"/>
      <c r="E437" s="50"/>
      <c r="F437" s="50"/>
      <c r="G437" s="50"/>
      <c r="H437" s="50"/>
      <c r="I437" s="50"/>
      <c r="J437" s="50"/>
      <c r="K437" s="41"/>
      <c r="L437" s="50"/>
      <c r="M437" s="50"/>
      <c r="N437" s="50"/>
      <c r="O437" s="50"/>
      <c r="P437" s="50"/>
      <c r="Q437" s="50"/>
      <c r="R437" s="50"/>
    </row>
    <row r="438" spans="1:18" ht="29" x14ac:dyDescent="0.35">
      <c r="A438" s="29" t="s">
        <v>1450</v>
      </c>
      <c r="B438" s="49" t="str">
        <f>VLOOKUP(B437,'Working BOQ'!A:K,9,0)</f>
        <v>D4 - Door</v>
      </c>
      <c r="C438" s="41"/>
      <c r="D438" s="50"/>
      <c r="E438" s="50"/>
      <c r="F438" s="50"/>
      <c r="G438" s="50"/>
      <c r="H438" s="50"/>
      <c r="I438" s="50"/>
      <c r="J438" s="50"/>
      <c r="K438" s="41"/>
      <c r="L438" s="50"/>
      <c r="M438" s="50"/>
      <c r="N438" s="50"/>
      <c r="O438" s="50"/>
      <c r="P438" s="50"/>
      <c r="Q438" s="50"/>
      <c r="R438" s="50"/>
    </row>
    <row r="439" spans="1:18" x14ac:dyDescent="0.35">
      <c r="A439" s="29" t="s">
        <v>1451</v>
      </c>
      <c r="B439" s="49">
        <f>VLOOKUP(B437,'Working BOQ'!A:N,14,0)</f>
        <v>5</v>
      </c>
      <c r="C439" s="41"/>
      <c r="D439" s="50"/>
      <c r="E439" s="50"/>
      <c r="F439" s="50"/>
      <c r="G439" s="50"/>
      <c r="H439" s="50"/>
      <c r="I439" s="50"/>
      <c r="J439" s="50"/>
      <c r="K439" s="41"/>
      <c r="L439" s="50"/>
      <c r="M439" s="50"/>
      <c r="N439" s="50"/>
      <c r="O439" s="50"/>
      <c r="P439" s="50"/>
      <c r="Q439" s="50"/>
      <c r="R439" s="50"/>
    </row>
    <row r="440" spans="1:18" x14ac:dyDescent="0.35">
      <c r="A440" s="29" t="s">
        <v>1</v>
      </c>
      <c r="B440" s="49" t="str">
        <f>VLOOKUP(B437,'Working BOQ'!A:K,11,0)</f>
        <v>Nos</v>
      </c>
      <c r="C440" s="41"/>
      <c r="D440" s="50"/>
      <c r="E440" s="50"/>
      <c r="F440" s="50"/>
      <c r="G440" s="50"/>
      <c r="H440" s="50"/>
      <c r="I440" s="50"/>
      <c r="J440" s="50"/>
      <c r="K440" s="41"/>
      <c r="L440" s="50"/>
      <c r="M440" s="50"/>
      <c r="N440" s="50"/>
      <c r="O440" s="50"/>
      <c r="P440" s="50"/>
      <c r="Q440" s="50"/>
      <c r="R440" s="50"/>
    </row>
    <row r="441" spans="1:18" s="6" customFormat="1" x14ac:dyDescent="0.35">
      <c r="A441" s="24" t="s">
        <v>110</v>
      </c>
      <c r="B441" s="5" t="s">
        <v>112</v>
      </c>
      <c r="C441" s="5" t="s">
        <v>111</v>
      </c>
      <c r="D441" s="16" t="s">
        <v>1200</v>
      </c>
      <c r="E441" s="16" t="s">
        <v>1200</v>
      </c>
      <c r="F441" s="16" t="s">
        <v>1452</v>
      </c>
      <c r="G441" s="16" t="s">
        <v>1453</v>
      </c>
      <c r="H441" s="16" t="s">
        <v>1454</v>
      </c>
      <c r="I441" s="16" t="s">
        <v>1455</v>
      </c>
      <c r="J441" s="16" t="s">
        <v>3</v>
      </c>
      <c r="K441" s="5" t="s">
        <v>1</v>
      </c>
      <c r="L441" s="16" t="s">
        <v>1456</v>
      </c>
      <c r="M441" s="16" t="s">
        <v>1457</v>
      </c>
      <c r="N441" s="16" t="s">
        <v>1458</v>
      </c>
      <c r="O441" s="16" t="s">
        <v>1459</v>
      </c>
      <c r="P441" s="16" t="s">
        <v>1122</v>
      </c>
      <c r="Q441" s="16" t="s">
        <v>1486</v>
      </c>
      <c r="R441" s="16" t="s">
        <v>1498</v>
      </c>
    </row>
    <row r="442" spans="1:18" x14ac:dyDescent="0.35">
      <c r="A442" s="27"/>
      <c r="B442" s="41"/>
      <c r="C442" s="41"/>
      <c r="D442" s="50"/>
      <c r="E442" s="50"/>
      <c r="F442" s="50"/>
      <c r="G442" s="50"/>
      <c r="H442" s="50"/>
      <c r="I442" s="50"/>
      <c r="J442" s="50"/>
      <c r="K442" s="41"/>
      <c r="L442" s="50"/>
      <c r="M442" s="50"/>
      <c r="N442" s="50"/>
      <c r="O442" s="50"/>
      <c r="P442" s="50"/>
      <c r="Q442" s="50"/>
      <c r="R442" s="50"/>
    </row>
    <row r="443" spans="1:18" x14ac:dyDescent="0.35">
      <c r="A443" s="26">
        <v>1</v>
      </c>
      <c r="B443" s="8" t="s">
        <v>1532</v>
      </c>
      <c r="C443" s="41" t="str">
        <f>VLOOKUP(B443,'Project Resource Master'!C:N,5,0)</f>
        <v>54mm thick 60mins FR Door Core</v>
      </c>
      <c r="D443" s="50">
        <v>1</v>
      </c>
      <c r="E443" s="50">
        <v>1</v>
      </c>
      <c r="F443" s="50">
        <v>1</v>
      </c>
      <c r="G443" s="50">
        <v>1</v>
      </c>
      <c r="H443" s="50">
        <v>1</v>
      </c>
      <c r="I443" s="50">
        <v>1</v>
      </c>
      <c r="J443" s="50">
        <f>PRODUCT(D443:I443)</f>
        <v>1</v>
      </c>
      <c r="K443" s="41" t="str">
        <f>VLOOKUP(B443,'Project Resource Master'!C:N,6,0)</f>
        <v>board</v>
      </c>
      <c r="L443" s="50">
        <f>VLOOKUP(B443,'Project Resource Master'!C:N,11,0)</f>
        <v>0.1</v>
      </c>
      <c r="M443" s="50">
        <f>J443*L443</f>
        <v>0.1</v>
      </c>
      <c r="N443" s="50">
        <f>+J443+M443</f>
        <v>1.1000000000000001</v>
      </c>
      <c r="O443" s="50">
        <f>VLOOKUP(B443,'Project Resource Master'!C:N,12,0)</f>
        <v>50</v>
      </c>
      <c r="P443" s="50">
        <f>+O443*N443</f>
        <v>55.000000000000007</v>
      </c>
      <c r="Q443" s="50">
        <f>+N443*B439</f>
        <v>5.5</v>
      </c>
      <c r="R443" s="50">
        <f>Q443*O443</f>
        <v>275</v>
      </c>
    </row>
    <row r="444" spans="1:18" x14ac:dyDescent="0.35">
      <c r="A444" s="26">
        <v>2</v>
      </c>
      <c r="B444" s="8" t="s">
        <v>1529</v>
      </c>
      <c r="C444" s="41" t="str">
        <f>VLOOKUP(B444,'Project Resource Master'!C:N,5,0)</f>
        <v>Beech veneer - Q-Cut</v>
      </c>
      <c r="D444" s="50">
        <v>2</v>
      </c>
      <c r="E444" s="50">
        <v>1</v>
      </c>
      <c r="F444" s="50">
        <v>1</v>
      </c>
      <c r="G444" s="50">
        <v>1</v>
      </c>
      <c r="H444" s="50">
        <v>2</v>
      </c>
      <c r="I444" s="50">
        <v>1</v>
      </c>
      <c r="J444" s="50">
        <f>PRODUCT(D444:I444)</f>
        <v>4</v>
      </c>
      <c r="K444" s="41" t="str">
        <f>VLOOKUP(B444,'Project Resource Master'!C:N,6,0)</f>
        <v>sqm</v>
      </c>
      <c r="L444" s="50">
        <f>VLOOKUP(B444,'Project Resource Master'!C:N,11,0)</f>
        <v>0.1</v>
      </c>
      <c r="M444" s="50">
        <f>J444*L444</f>
        <v>0.4</v>
      </c>
      <c r="N444" s="50">
        <f>+J444+M444</f>
        <v>4.4000000000000004</v>
      </c>
      <c r="O444" s="50">
        <f>VLOOKUP(B444,'Project Resource Master'!C:N,12,0)</f>
        <v>50</v>
      </c>
      <c r="P444" s="50">
        <f>+O444*N444</f>
        <v>220.00000000000003</v>
      </c>
      <c r="Q444" s="50">
        <f>+N444*B439</f>
        <v>22</v>
      </c>
      <c r="R444" s="50">
        <f>Q444*O444</f>
        <v>1100</v>
      </c>
    </row>
    <row r="445" spans="1:18" x14ac:dyDescent="0.35">
      <c r="A445" s="26">
        <v>3</v>
      </c>
      <c r="B445" s="8" t="s">
        <v>1527</v>
      </c>
      <c r="C445" s="41" t="str">
        <f>VLOOKUP(B445,'Project Resource Master'!C:N,5,0)</f>
        <v>Ash veneer - Q-Cut</v>
      </c>
      <c r="D445" s="50">
        <v>2</v>
      </c>
      <c r="E445" s="50">
        <v>1</v>
      </c>
      <c r="F445" s="50">
        <v>1</v>
      </c>
      <c r="G445" s="50">
        <v>1</v>
      </c>
      <c r="H445" s="50">
        <v>2</v>
      </c>
      <c r="I445" s="50">
        <v>1</v>
      </c>
      <c r="J445" s="50">
        <f>PRODUCT(D445:I445)</f>
        <v>4</v>
      </c>
      <c r="K445" s="41" t="str">
        <f>VLOOKUP(B445,'Project Resource Master'!C:N,6,0)</f>
        <v>sqm</v>
      </c>
      <c r="L445" s="50">
        <f>VLOOKUP(B445,'Project Resource Master'!C:N,11,0)</f>
        <v>0.05</v>
      </c>
      <c r="M445" s="50">
        <f>J445*L445</f>
        <v>0.2</v>
      </c>
      <c r="N445" s="50">
        <f>+J445+M445</f>
        <v>4.2</v>
      </c>
      <c r="O445" s="50">
        <f>VLOOKUP(B445,'Project Resource Master'!C:N,12,0)</f>
        <v>80</v>
      </c>
      <c r="P445" s="50">
        <f>+O445*N445</f>
        <v>336</v>
      </c>
      <c r="Q445" s="50">
        <f>+N445*B439</f>
        <v>21</v>
      </c>
      <c r="R445" s="50">
        <f>Q445*O445</f>
        <v>1680</v>
      </c>
    </row>
    <row r="446" spans="1:18" x14ac:dyDescent="0.35">
      <c r="A446" s="26">
        <v>4</v>
      </c>
      <c r="B446" s="8" t="s">
        <v>1534</v>
      </c>
      <c r="C446" s="41" t="str">
        <f>VLOOKUP(B446,'Project Resource Master'!C:N,5,0)</f>
        <v>Beech wood - 2" x 8" - KD</v>
      </c>
      <c r="D446" s="50">
        <v>2.5</v>
      </c>
      <c r="E446" s="50">
        <v>1</v>
      </c>
      <c r="F446" s="50">
        <v>8</v>
      </c>
      <c r="G446" s="50">
        <f>12/12</f>
        <v>1</v>
      </c>
      <c r="H446" s="50">
        <f>3/12</f>
        <v>0.25</v>
      </c>
      <c r="I446" s="50">
        <v>1</v>
      </c>
      <c r="J446" s="50">
        <f>PRODUCT(D446:I446)</f>
        <v>5</v>
      </c>
      <c r="K446" s="41" t="str">
        <f>VLOOKUP(B446,'Project Resource Master'!C:N,6,0)</f>
        <v>cft</v>
      </c>
      <c r="L446" s="50">
        <f>VLOOKUP(B446,'Project Resource Master'!C:N,11,0)</f>
        <v>0.1</v>
      </c>
      <c r="M446" s="50">
        <f>J446*L446</f>
        <v>0.5</v>
      </c>
      <c r="N446" s="50">
        <f>+J446+M446</f>
        <v>5.5</v>
      </c>
      <c r="O446" s="50">
        <f>VLOOKUP(B446,'Project Resource Master'!C:N,12,0)</f>
        <v>50</v>
      </c>
      <c r="P446" s="50">
        <f>+O446*N446</f>
        <v>275</v>
      </c>
      <c r="Q446" s="50">
        <f>+N446*B439</f>
        <v>27.5</v>
      </c>
      <c r="R446" s="50">
        <f>Q446*O446</f>
        <v>1375</v>
      </c>
    </row>
    <row r="447" spans="1:18" x14ac:dyDescent="0.35">
      <c r="A447" s="26">
        <v>4</v>
      </c>
      <c r="B447" s="8" t="s">
        <v>1526</v>
      </c>
      <c r="C447" s="41" t="str">
        <f>VLOOKUP(B447,'Project Resource Master'!C:N,5,0)</f>
        <v>Ash wood - 2" x 8" - AD</v>
      </c>
      <c r="D447" s="50">
        <v>2.5</v>
      </c>
      <c r="E447" s="50">
        <v>1</v>
      </c>
      <c r="F447" s="50">
        <v>8</v>
      </c>
      <c r="G447" s="50">
        <f>10/12</f>
        <v>0.83333333333333337</v>
      </c>
      <c r="H447" s="50">
        <f>2/12</f>
        <v>0.16666666666666666</v>
      </c>
      <c r="I447" s="50">
        <v>1</v>
      </c>
      <c r="J447" s="50">
        <f>PRODUCT(D447:I447)</f>
        <v>2.7777777777777777</v>
      </c>
      <c r="K447" s="41" t="str">
        <f>VLOOKUP(B447,'Project Resource Master'!C:N,6,0)</f>
        <v>cft</v>
      </c>
      <c r="L447" s="50">
        <f>VLOOKUP(B447,'Project Resource Master'!C:N,11,0)</f>
        <v>0.1</v>
      </c>
      <c r="M447" s="50">
        <f>J447*L447</f>
        <v>0.27777777777777779</v>
      </c>
      <c r="N447" s="50">
        <f>+J447+M447</f>
        <v>3.0555555555555554</v>
      </c>
      <c r="O447" s="50">
        <f>VLOOKUP(B447,'Project Resource Master'!C:N,12,0)</f>
        <v>50</v>
      </c>
      <c r="P447" s="50">
        <f>+O447*N447</f>
        <v>152.77777777777777</v>
      </c>
      <c r="Q447" s="50">
        <f>+N447*B439</f>
        <v>15.277777777777777</v>
      </c>
      <c r="R447" s="50">
        <f>Q447*O447</f>
        <v>763.8888888888888</v>
      </c>
    </row>
    <row r="448" spans="1:18" x14ac:dyDescent="0.35">
      <c r="A448" s="26">
        <v>5</v>
      </c>
      <c r="B448" s="8" t="s">
        <v>1497</v>
      </c>
      <c r="C448" s="41" t="str">
        <f>VLOOKUP(B448,'Project Resource Master'!C:N,5,0)</f>
        <v>Helper</v>
      </c>
      <c r="D448" s="50">
        <v>10</v>
      </c>
      <c r="E448" s="50">
        <v>2</v>
      </c>
      <c r="F448" s="50">
        <v>1</v>
      </c>
      <c r="G448" s="50">
        <v>1</v>
      </c>
      <c r="H448" s="50">
        <v>1</v>
      </c>
      <c r="I448" s="50">
        <v>1</v>
      </c>
      <c r="J448" s="50">
        <f>PRODUCT(D448:I448)</f>
        <v>20</v>
      </c>
      <c r="K448" s="41" t="str">
        <f>VLOOKUP(B448,'Project Resource Master'!C:N,6,0)</f>
        <v>hr</v>
      </c>
      <c r="L448" s="50">
        <f>VLOOKUP(B448,'Project Resource Master'!C:N,11,0)</f>
        <v>0.2</v>
      </c>
      <c r="M448" s="50">
        <f>J448*L448</f>
        <v>4</v>
      </c>
      <c r="N448" s="50">
        <f>+J448+M448</f>
        <v>24</v>
      </c>
      <c r="O448" s="50">
        <f>VLOOKUP(B448,'Project Resource Master'!C:N,12,0)</f>
        <v>100</v>
      </c>
      <c r="P448" s="50">
        <f>+O448*N448</f>
        <v>2400</v>
      </c>
      <c r="Q448" s="50">
        <f>+N448*B439</f>
        <v>120</v>
      </c>
      <c r="R448" s="50">
        <f>Q448*O448</f>
        <v>12000</v>
      </c>
    </row>
    <row r="449" spans="1:18" x14ac:dyDescent="0.35">
      <c r="A449" s="26">
        <v>6</v>
      </c>
      <c r="B449" s="8" t="s">
        <v>1496</v>
      </c>
      <c r="C449" s="41" t="str">
        <f>VLOOKUP(B449,'Project Resource Master'!C:N,5,0)</f>
        <v>Carpenter</v>
      </c>
      <c r="D449" s="50">
        <v>10</v>
      </c>
      <c r="E449" s="50">
        <v>2</v>
      </c>
      <c r="F449" s="50">
        <v>1</v>
      </c>
      <c r="G449" s="50">
        <v>1</v>
      </c>
      <c r="H449" s="50">
        <v>1</v>
      </c>
      <c r="I449" s="50">
        <v>1</v>
      </c>
      <c r="J449" s="50">
        <f>PRODUCT(D449:I449)</f>
        <v>20</v>
      </c>
      <c r="K449" s="41" t="str">
        <f>VLOOKUP(B449,'Project Resource Master'!C:N,6,0)</f>
        <v>hr</v>
      </c>
      <c r="L449" s="50">
        <f>VLOOKUP(B449,'Project Resource Master'!C:N,11,0)</f>
        <v>0.2</v>
      </c>
      <c r="M449" s="50">
        <f>J449*L449</f>
        <v>4</v>
      </c>
      <c r="N449" s="50">
        <f>+J449+M449</f>
        <v>24</v>
      </c>
      <c r="O449" s="50">
        <f>VLOOKUP(B449,'Project Resource Master'!C:N,12,0)</f>
        <v>100</v>
      </c>
      <c r="P449" s="50">
        <f>+O449*N449</f>
        <v>2400</v>
      </c>
      <c r="Q449" s="50">
        <f>+N449*B439</f>
        <v>120</v>
      </c>
      <c r="R449" s="50">
        <f>Q449*O449</f>
        <v>12000</v>
      </c>
    </row>
    <row r="450" spans="1:18" x14ac:dyDescent="0.35">
      <c r="A450" s="27"/>
      <c r="B450" s="41"/>
      <c r="C450" s="41"/>
      <c r="D450" s="50"/>
      <c r="E450" s="50"/>
      <c r="F450" s="50"/>
      <c r="G450" s="50"/>
      <c r="H450" s="50"/>
      <c r="I450" s="50"/>
      <c r="J450" s="50"/>
      <c r="K450" s="41"/>
      <c r="L450" s="50"/>
      <c r="M450" s="50"/>
      <c r="N450" s="50"/>
      <c r="O450" s="50"/>
      <c r="P450" s="50"/>
      <c r="Q450" s="50"/>
      <c r="R450" s="50"/>
    </row>
    <row r="451" spans="1:18" s="14" customFormat="1" x14ac:dyDescent="0.35">
      <c r="A451" s="29" t="str">
        <f>B437</f>
        <v>5d</v>
      </c>
      <c r="B451" s="7"/>
      <c r="C451" s="7" t="s">
        <v>1485</v>
      </c>
      <c r="D451" s="51"/>
      <c r="E451" s="51"/>
      <c r="F451" s="51"/>
      <c r="G451" s="51"/>
      <c r="H451" s="51"/>
      <c r="I451" s="51"/>
      <c r="J451" s="51"/>
      <c r="K451" s="7"/>
      <c r="L451" s="51"/>
      <c r="M451" s="51"/>
      <c r="N451" s="51"/>
      <c r="O451" s="51"/>
      <c r="P451" s="51">
        <f>SUM(P442:P450)</f>
        <v>5838.7777777777774</v>
      </c>
      <c r="Q451" s="51"/>
      <c r="R451" s="51">
        <f>SUM(R442:R450)</f>
        <v>29193.888888888891</v>
      </c>
    </row>
    <row r="454" spans="1:18" x14ac:dyDescent="0.35">
      <c r="A454" s="29" t="s">
        <v>1348</v>
      </c>
      <c r="B454" s="49" t="s">
        <v>1405</v>
      </c>
      <c r="C454" s="41"/>
      <c r="D454" s="50"/>
      <c r="E454" s="50"/>
      <c r="F454" s="50"/>
      <c r="G454" s="50"/>
      <c r="H454" s="50"/>
      <c r="I454" s="50"/>
      <c r="J454" s="50"/>
      <c r="K454" s="41"/>
      <c r="L454" s="50"/>
      <c r="M454" s="50"/>
      <c r="N454" s="50"/>
      <c r="O454" s="50"/>
      <c r="P454" s="50"/>
      <c r="Q454" s="50"/>
      <c r="R454" s="50"/>
    </row>
    <row r="455" spans="1:18" ht="29" x14ac:dyDescent="0.35">
      <c r="A455" s="29" t="s">
        <v>1450</v>
      </c>
      <c r="B455" s="49" t="str">
        <f>VLOOKUP(B454,'Working BOQ'!A:K,9,0)</f>
        <v>D5 - Door</v>
      </c>
      <c r="C455" s="41"/>
      <c r="D455" s="50"/>
      <c r="E455" s="50"/>
      <c r="F455" s="50"/>
      <c r="G455" s="50"/>
      <c r="H455" s="50"/>
      <c r="I455" s="50"/>
      <c r="J455" s="50"/>
      <c r="K455" s="41"/>
      <c r="L455" s="50"/>
      <c r="M455" s="50"/>
      <c r="N455" s="50"/>
      <c r="O455" s="50"/>
      <c r="P455" s="50"/>
      <c r="Q455" s="50"/>
      <c r="R455" s="50"/>
    </row>
    <row r="456" spans="1:18" x14ac:dyDescent="0.35">
      <c r="A456" s="29" t="s">
        <v>1451</v>
      </c>
      <c r="B456" s="49">
        <f>VLOOKUP(B454,'Working BOQ'!A:N,14,0)</f>
        <v>10</v>
      </c>
      <c r="C456" s="41"/>
      <c r="D456" s="50"/>
      <c r="E456" s="50"/>
      <c r="F456" s="50"/>
      <c r="G456" s="50"/>
      <c r="H456" s="50"/>
      <c r="I456" s="50"/>
      <c r="J456" s="50"/>
      <c r="K456" s="41"/>
      <c r="L456" s="50"/>
      <c r="M456" s="50"/>
      <c r="N456" s="50"/>
      <c r="O456" s="50"/>
      <c r="P456" s="50"/>
      <c r="Q456" s="50"/>
      <c r="R456" s="50"/>
    </row>
    <row r="457" spans="1:18" x14ac:dyDescent="0.35">
      <c r="A457" s="29" t="s">
        <v>1</v>
      </c>
      <c r="B457" s="49" t="str">
        <f>VLOOKUP(B454,'Working BOQ'!A:K,11,0)</f>
        <v>Nos</v>
      </c>
      <c r="C457" s="41"/>
      <c r="D457" s="50"/>
      <c r="E457" s="50"/>
      <c r="F457" s="50"/>
      <c r="G457" s="50"/>
      <c r="H457" s="50"/>
      <c r="I457" s="50"/>
      <c r="J457" s="50"/>
      <c r="K457" s="41"/>
      <c r="L457" s="50"/>
      <c r="M457" s="50"/>
      <c r="N457" s="50"/>
      <c r="O457" s="50"/>
      <c r="P457" s="50"/>
      <c r="Q457" s="50"/>
      <c r="R457" s="50"/>
    </row>
    <row r="458" spans="1:18" s="6" customFormat="1" x14ac:dyDescent="0.35">
      <c r="A458" s="24" t="s">
        <v>110</v>
      </c>
      <c r="B458" s="5" t="s">
        <v>112</v>
      </c>
      <c r="C458" s="5" t="s">
        <v>111</v>
      </c>
      <c r="D458" s="16" t="s">
        <v>1200</v>
      </c>
      <c r="E458" s="16" t="s">
        <v>1200</v>
      </c>
      <c r="F458" s="16" t="s">
        <v>1452</v>
      </c>
      <c r="G458" s="16" t="s">
        <v>1453</v>
      </c>
      <c r="H458" s="16" t="s">
        <v>1454</v>
      </c>
      <c r="I458" s="16" t="s">
        <v>1455</v>
      </c>
      <c r="J458" s="16" t="s">
        <v>3</v>
      </c>
      <c r="K458" s="5" t="s">
        <v>1</v>
      </c>
      <c r="L458" s="16" t="s">
        <v>1456</v>
      </c>
      <c r="M458" s="16" t="s">
        <v>1457</v>
      </c>
      <c r="N458" s="16" t="s">
        <v>1458</v>
      </c>
      <c r="O458" s="16" t="s">
        <v>1459</v>
      </c>
      <c r="P458" s="16" t="s">
        <v>1122</v>
      </c>
      <c r="Q458" s="16" t="s">
        <v>1486</v>
      </c>
      <c r="R458" s="16" t="s">
        <v>1498</v>
      </c>
    </row>
    <row r="459" spans="1:18" x14ac:dyDescent="0.35">
      <c r="A459" s="27"/>
      <c r="B459" s="41"/>
      <c r="C459" s="41"/>
      <c r="D459" s="50"/>
      <c r="E459" s="50"/>
      <c r="F459" s="50"/>
      <c r="G459" s="50"/>
      <c r="H459" s="50"/>
      <c r="I459" s="50"/>
      <c r="J459" s="50"/>
      <c r="K459" s="41"/>
      <c r="L459" s="50"/>
      <c r="M459" s="50"/>
      <c r="N459" s="50"/>
      <c r="O459" s="50"/>
      <c r="P459" s="50"/>
      <c r="Q459" s="50"/>
      <c r="R459" s="50"/>
    </row>
    <row r="460" spans="1:18" x14ac:dyDescent="0.35">
      <c r="A460" s="26">
        <v>1</v>
      </c>
      <c r="B460" s="8" t="s">
        <v>1533</v>
      </c>
      <c r="C460" s="41" t="str">
        <f>VLOOKUP(B460,'Project Resource Master'!C:N,5,0)</f>
        <v>64mm thick 120mins FR Door Core</v>
      </c>
      <c r="D460" s="50">
        <v>1</v>
      </c>
      <c r="E460" s="50">
        <v>1</v>
      </c>
      <c r="F460" s="50">
        <v>1</v>
      </c>
      <c r="G460" s="50">
        <v>1</v>
      </c>
      <c r="H460" s="50">
        <v>1</v>
      </c>
      <c r="I460" s="50">
        <v>1</v>
      </c>
      <c r="J460" s="50">
        <f>PRODUCT(D460:I460)</f>
        <v>1</v>
      </c>
      <c r="K460" s="41" t="str">
        <f>VLOOKUP(B460,'Project Resource Master'!C:N,6,0)</f>
        <v>board</v>
      </c>
      <c r="L460" s="50">
        <f>VLOOKUP(B460,'Project Resource Master'!C:N,11,0)</f>
        <v>0.1</v>
      </c>
      <c r="M460" s="50">
        <f>J460*L460</f>
        <v>0.1</v>
      </c>
      <c r="N460" s="50">
        <f>+J460+M460</f>
        <v>1.1000000000000001</v>
      </c>
      <c r="O460" s="50">
        <f>VLOOKUP(B460,'Project Resource Master'!C:N,12,0)</f>
        <v>50</v>
      </c>
      <c r="P460" s="50">
        <f>+O460*N460</f>
        <v>55.000000000000007</v>
      </c>
      <c r="Q460" s="50">
        <f>+N460*B456</f>
        <v>11</v>
      </c>
      <c r="R460" s="50">
        <f>Q460*O460</f>
        <v>550</v>
      </c>
    </row>
    <row r="461" spans="1:18" x14ac:dyDescent="0.35">
      <c r="A461" s="26">
        <v>2</v>
      </c>
      <c r="B461" s="8" t="s">
        <v>1527</v>
      </c>
      <c r="C461" s="41" t="str">
        <f>VLOOKUP(B461,'Project Resource Master'!C:N,5,0)</f>
        <v>Ash veneer - Q-Cut</v>
      </c>
      <c r="D461" s="50">
        <v>2</v>
      </c>
      <c r="E461" s="50">
        <v>1</v>
      </c>
      <c r="F461" s="50">
        <v>1</v>
      </c>
      <c r="G461" s="50">
        <v>1</v>
      </c>
      <c r="H461" s="50">
        <v>2</v>
      </c>
      <c r="I461" s="50">
        <v>1</v>
      </c>
      <c r="J461" s="50">
        <f>PRODUCT(D461:I461)</f>
        <v>4</v>
      </c>
      <c r="K461" s="41" t="str">
        <f>VLOOKUP(B461,'Project Resource Master'!C:N,6,0)</f>
        <v>sqm</v>
      </c>
      <c r="L461" s="50">
        <f>VLOOKUP(B461,'Project Resource Master'!C:N,11,0)</f>
        <v>0.05</v>
      </c>
      <c r="M461" s="50">
        <f>J461*L461</f>
        <v>0.2</v>
      </c>
      <c r="N461" s="50">
        <f>+J461+M461</f>
        <v>4.2</v>
      </c>
      <c r="O461" s="50">
        <f>VLOOKUP(B461,'Project Resource Master'!C:N,12,0)</f>
        <v>80</v>
      </c>
      <c r="P461" s="50">
        <f>+O461*N461</f>
        <v>336</v>
      </c>
      <c r="Q461" s="50">
        <f>+N461*B456</f>
        <v>42</v>
      </c>
      <c r="R461" s="50">
        <f>Q461*O461</f>
        <v>3360</v>
      </c>
    </row>
    <row r="462" spans="1:18" x14ac:dyDescent="0.35">
      <c r="A462" s="26">
        <v>3</v>
      </c>
      <c r="B462" s="8" t="s">
        <v>1526</v>
      </c>
      <c r="C462" s="41" t="str">
        <f>VLOOKUP(B462,'Project Resource Master'!C:N,5,0)</f>
        <v>Ash wood - 2" x 8" - AD</v>
      </c>
      <c r="D462" s="50">
        <v>2.5</v>
      </c>
      <c r="E462" s="50">
        <v>1</v>
      </c>
      <c r="F462" s="50">
        <v>8</v>
      </c>
      <c r="G462" s="50">
        <f>10/12</f>
        <v>0.83333333333333337</v>
      </c>
      <c r="H462" s="50">
        <f>2/12</f>
        <v>0.16666666666666666</v>
      </c>
      <c r="I462" s="50">
        <v>1</v>
      </c>
      <c r="J462" s="50">
        <f>PRODUCT(D462:I462)</f>
        <v>2.7777777777777777</v>
      </c>
      <c r="K462" s="41" t="str">
        <f>VLOOKUP(B462,'Project Resource Master'!C:N,6,0)</f>
        <v>cft</v>
      </c>
      <c r="L462" s="50">
        <f>VLOOKUP(B462,'Project Resource Master'!C:N,11,0)</f>
        <v>0.1</v>
      </c>
      <c r="M462" s="50">
        <f>J462*L462</f>
        <v>0.27777777777777779</v>
      </c>
      <c r="N462" s="50">
        <f>+J462+M462</f>
        <v>3.0555555555555554</v>
      </c>
      <c r="O462" s="50">
        <f>VLOOKUP(B462,'Project Resource Master'!C:N,12,0)</f>
        <v>50</v>
      </c>
      <c r="P462" s="50">
        <f>+O462*N462</f>
        <v>152.77777777777777</v>
      </c>
      <c r="Q462" s="50">
        <f>+N462*B456</f>
        <v>30.555555555555554</v>
      </c>
      <c r="R462" s="50">
        <f>Q462*O462</f>
        <v>1527.7777777777776</v>
      </c>
    </row>
    <row r="463" spans="1:18" x14ac:dyDescent="0.35">
      <c r="A463" s="26">
        <v>4</v>
      </c>
      <c r="B463" s="8" t="s">
        <v>1497</v>
      </c>
      <c r="C463" s="41" t="str">
        <f>VLOOKUP(B463,'Project Resource Master'!C:N,5,0)</f>
        <v>Helper</v>
      </c>
      <c r="D463" s="50">
        <v>10</v>
      </c>
      <c r="E463" s="50">
        <v>2</v>
      </c>
      <c r="F463" s="50">
        <v>1</v>
      </c>
      <c r="G463" s="50">
        <v>1</v>
      </c>
      <c r="H463" s="50">
        <v>1</v>
      </c>
      <c r="I463" s="50">
        <v>1</v>
      </c>
      <c r="J463" s="50">
        <f>PRODUCT(D463:I463)</f>
        <v>20</v>
      </c>
      <c r="K463" s="41" t="str">
        <f>VLOOKUP(B463,'Project Resource Master'!C:N,6,0)</f>
        <v>hr</v>
      </c>
      <c r="L463" s="50">
        <f>VLOOKUP(B463,'Project Resource Master'!C:N,11,0)</f>
        <v>0.2</v>
      </c>
      <c r="M463" s="50">
        <f>J463*L463</f>
        <v>4</v>
      </c>
      <c r="N463" s="50">
        <f>+J463+M463</f>
        <v>24</v>
      </c>
      <c r="O463" s="50">
        <f>VLOOKUP(B463,'Project Resource Master'!C:N,12,0)</f>
        <v>100</v>
      </c>
      <c r="P463" s="50">
        <f>+O463*N463</f>
        <v>2400</v>
      </c>
      <c r="Q463" s="50">
        <f>+N463*B456</f>
        <v>240</v>
      </c>
      <c r="R463" s="50">
        <f>Q463*O463</f>
        <v>24000</v>
      </c>
    </row>
    <row r="464" spans="1:18" x14ac:dyDescent="0.35">
      <c r="A464" s="26">
        <v>5</v>
      </c>
      <c r="B464" s="8" t="s">
        <v>1496</v>
      </c>
      <c r="C464" s="41" t="str">
        <f>VLOOKUP(B464,'Project Resource Master'!C:N,5,0)</f>
        <v>Carpenter</v>
      </c>
      <c r="D464" s="50">
        <v>10</v>
      </c>
      <c r="E464" s="50">
        <v>2</v>
      </c>
      <c r="F464" s="50">
        <v>1</v>
      </c>
      <c r="G464" s="50">
        <v>1</v>
      </c>
      <c r="H464" s="50">
        <v>1</v>
      </c>
      <c r="I464" s="50">
        <v>1</v>
      </c>
      <c r="J464" s="50">
        <f>PRODUCT(D464:I464)</f>
        <v>20</v>
      </c>
      <c r="K464" s="41" t="str">
        <f>VLOOKUP(B464,'Project Resource Master'!C:N,6,0)</f>
        <v>hr</v>
      </c>
      <c r="L464" s="50">
        <f>VLOOKUP(B464,'Project Resource Master'!C:N,11,0)</f>
        <v>0.2</v>
      </c>
      <c r="M464" s="50">
        <f>J464*L464</f>
        <v>4</v>
      </c>
      <c r="N464" s="50">
        <f>+J464+M464</f>
        <v>24</v>
      </c>
      <c r="O464" s="50">
        <f>VLOOKUP(B464,'Project Resource Master'!C:N,12,0)</f>
        <v>100</v>
      </c>
      <c r="P464" s="50">
        <f>+O464*N464</f>
        <v>2400</v>
      </c>
      <c r="Q464" s="50">
        <f>+N464*B456</f>
        <v>240</v>
      </c>
      <c r="R464" s="50">
        <f>Q464*O464</f>
        <v>24000</v>
      </c>
    </row>
    <row r="465" spans="1:18" x14ac:dyDescent="0.35">
      <c r="A465" s="27"/>
      <c r="B465" s="41"/>
      <c r="C465" s="41"/>
      <c r="D465" s="50"/>
      <c r="E465" s="50"/>
      <c r="F465" s="50"/>
      <c r="G465" s="50"/>
      <c r="H465" s="50"/>
      <c r="I465" s="50"/>
      <c r="J465" s="50"/>
      <c r="K465" s="41"/>
      <c r="L465" s="50"/>
      <c r="M465" s="50"/>
      <c r="N465" s="50"/>
      <c r="O465" s="50"/>
      <c r="P465" s="50"/>
      <c r="Q465" s="50"/>
      <c r="R465" s="50"/>
    </row>
    <row r="466" spans="1:18" s="14" customFormat="1" x14ac:dyDescent="0.35">
      <c r="A466" s="29" t="str">
        <f>B454</f>
        <v>5e</v>
      </c>
      <c r="B466" s="7"/>
      <c r="C466" s="7" t="s">
        <v>1485</v>
      </c>
      <c r="D466" s="51"/>
      <c r="E466" s="51"/>
      <c r="F466" s="51"/>
      <c r="G466" s="51"/>
      <c r="H466" s="51"/>
      <c r="I466" s="51"/>
      <c r="J466" s="51"/>
      <c r="K466" s="7"/>
      <c r="L466" s="51"/>
      <c r="M466" s="51"/>
      <c r="N466" s="51"/>
      <c r="O466" s="51"/>
      <c r="P466" s="51">
        <f>SUM(P459:P465)</f>
        <v>5343.7777777777774</v>
      </c>
      <c r="Q466" s="51"/>
      <c r="R466" s="51">
        <f>SUM(R459:R465)</f>
        <v>53437.777777777781</v>
      </c>
    </row>
    <row r="469" spans="1:18" x14ac:dyDescent="0.35">
      <c r="A469" s="29" t="s">
        <v>1348</v>
      </c>
      <c r="B469" s="49" t="s">
        <v>1406</v>
      </c>
      <c r="C469" s="41"/>
      <c r="D469" s="50"/>
      <c r="E469" s="50"/>
      <c r="F469" s="50"/>
      <c r="G469" s="50"/>
      <c r="H469" s="50"/>
      <c r="I469" s="50"/>
      <c r="J469" s="50"/>
      <c r="K469" s="41"/>
      <c r="L469" s="50"/>
      <c r="M469" s="50"/>
      <c r="N469" s="50"/>
      <c r="O469" s="50"/>
      <c r="P469" s="50"/>
      <c r="Q469" s="50"/>
      <c r="R469" s="50"/>
    </row>
    <row r="470" spans="1:18" ht="29" x14ac:dyDescent="0.35">
      <c r="A470" s="29" t="s">
        <v>1450</v>
      </c>
      <c r="B470" s="49" t="str">
        <f>VLOOKUP(B469,'Working BOQ'!A:K,9,0)</f>
        <v>Wall Panelling A</v>
      </c>
      <c r="C470" s="41"/>
      <c r="D470" s="50"/>
      <c r="E470" s="50"/>
      <c r="F470" s="50"/>
      <c r="G470" s="50"/>
      <c r="H470" s="50"/>
      <c r="I470" s="50"/>
      <c r="J470" s="50"/>
      <c r="K470" s="41"/>
      <c r="L470" s="50"/>
      <c r="M470" s="50"/>
      <c r="N470" s="50"/>
      <c r="O470" s="50"/>
      <c r="P470" s="50"/>
      <c r="Q470" s="50"/>
      <c r="R470" s="50"/>
    </row>
    <row r="471" spans="1:18" x14ac:dyDescent="0.35">
      <c r="A471" s="29" t="s">
        <v>1451</v>
      </c>
      <c r="B471" s="49">
        <f>VLOOKUP(B469,'Working BOQ'!A:N,14,0)</f>
        <v>160</v>
      </c>
      <c r="C471" s="41"/>
      <c r="D471" s="50"/>
      <c r="E471" s="50"/>
      <c r="F471" s="50"/>
      <c r="G471" s="50"/>
      <c r="H471" s="50"/>
      <c r="I471" s="50"/>
      <c r="J471" s="50"/>
      <c r="K471" s="41"/>
      <c r="L471" s="50"/>
      <c r="M471" s="50"/>
      <c r="N471" s="50"/>
      <c r="O471" s="50"/>
      <c r="P471" s="50"/>
      <c r="Q471" s="50"/>
      <c r="R471" s="50"/>
    </row>
    <row r="472" spans="1:18" x14ac:dyDescent="0.35">
      <c r="A472" s="29" t="s">
        <v>1</v>
      </c>
      <c r="B472" s="49" t="str">
        <f>VLOOKUP(B469,'Working BOQ'!A:K,11,0)</f>
        <v>sqm</v>
      </c>
      <c r="C472" s="41"/>
      <c r="D472" s="50"/>
      <c r="E472" s="50"/>
      <c r="F472" s="50"/>
      <c r="G472" s="50"/>
      <c r="H472" s="50"/>
      <c r="I472" s="50"/>
      <c r="J472" s="50"/>
      <c r="K472" s="41"/>
      <c r="L472" s="50"/>
      <c r="M472" s="50"/>
      <c r="N472" s="50"/>
      <c r="O472" s="50"/>
      <c r="P472" s="50"/>
      <c r="Q472" s="50"/>
      <c r="R472" s="50"/>
    </row>
    <row r="473" spans="1:18" s="6" customFormat="1" x14ac:dyDescent="0.35">
      <c r="A473" s="24" t="s">
        <v>110</v>
      </c>
      <c r="B473" s="5" t="s">
        <v>112</v>
      </c>
      <c r="C473" s="5" t="s">
        <v>111</v>
      </c>
      <c r="D473" s="16" t="s">
        <v>1200</v>
      </c>
      <c r="E473" s="16" t="s">
        <v>1200</v>
      </c>
      <c r="F473" s="16" t="s">
        <v>1452</v>
      </c>
      <c r="G473" s="16" t="s">
        <v>1453</v>
      </c>
      <c r="H473" s="16" t="s">
        <v>1454</v>
      </c>
      <c r="I473" s="16" t="s">
        <v>1455</v>
      </c>
      <c r="J473" s="16" t="s">
        <v>3</v>
      </c>
      <c r="K473" s="5" t="s">
        <v>1</v>
      </c>
      <c r="L473" s="16" t="s">
        <v>1456</v>
      </c>
      <c r="M473" s="16" t="s">
        <v>1457</v>
      </c>
      <c r="N473" s="16" t="s">
        <v>1458</v>
      </c>
      <c r="O473" s="16" t="s">
        <v>1459</v>
      </c>
      <c r="P473" s="16" t="s">
        <v>1122</v>
      </c>
      <c r="Q473" s="16" t="s">
        <v>1486</v>
      </c>
      <c r="R473" s="16" t="s">
        <v>1498</v>
      </c>
    </row>
    <row r="474" spans="1:18" x14ac:dyDescent="0.35">
      <c r="A474" s="27"/>
      <c r="B474" s="41"/>
      <c r="C474" s="41"/>
      <c r="D474" s="50"/>
      <c r="E474" s="50"/>
      <c r="F474" s="50"/>
      <c r="G474" s="50"/>
      <c r="H474" s="50"/>
      <c r="I474" s="50"/>
      <c r="J474" s="50"/>
      <c r="K474" s="41"/>
      <c r="L474" s="50"/>
      <c r="M474" s="50"/>
      <c r="N474" s="50"/>
      <c r="O474" s="50"/>
      <c r="P474" s="50"/>
      <c r="Q474" s="50"/>
      <c r="R474" s="50"/>
    </row>
    <row r="475" spans="1:18" x14ac:dyDescent="0.35">
      <c r="A475" s="26">
        <v>1</v>
      </c>
      <c r="B475" s="8" t="s">
        <v>1535</v>
      </c>
      <c r="C475" s="41" t="str">
        <f>VLOOKUP(B475,'Project Resource Master'!C:N,5,0)</f>
        <v>18mm MDF - Normal</v>
      </c>
      <c r="D475" s="50">
        <v>1</v>
      </c>
      <c r="E475" s="50">
        <v>1</v>
      </c>
      <c r="F475" s="50">
        <f>1/1.2</f>
        <v>0.83333333333333337</v>
      </c>
      <c r="G475" s="50">
        <v>1</v>
      </c>
      <c r="H475" s="50">
        <f>1/2.4</f>
        <v>0.41666666666666669</v>
      </c>
      <c r="I475" s="50">
        <v>1</v>
      </c>
      <c r="J475" s="50">
        <f>PRODUCT(D475:I475)</f>
        <v>0.34722222222222227</v>
      </c>
      <c r="K475" s="41" t="str">
        <f>VLOOKUP(B475,'Project Resource Master'!C:N,6,0)</f>
        <v>board</v>
      </c>
      <c r="L475" s="50">
        <f>VLOOKUP(B475,'Project Resource Master'!C:N,11,0)</f>
        <v>0.05</v>
      </c>
      <c r="M475" s="50">
        <f>J475*L475</f>
        <v>1.7361111111111115E-2</v>
      </c>
      <c r="N475" s="50">
        <f>+J475+M475</f>
        <v>0.36458333333333337</v>
      </c>
      <c r="O475" s="50">
        <f>VLOOKUP(B475,'Project Resource Master'!C:N,12,0)</f>
        <v>50</v>
      </c>
      <c r="P475" s="50">
        <f>+O475*N475</f>
        <v>18.229166666666668</v>
      </c>
      <c r="Q475" s="50">
        <f>+N475*B471</f>
        <v>58.333333333333343</v>
      </c>
      <c r="R475" s="50">
        <f>Q475*O475</f>
        <v>2916.666666666667</v>
      </c>
    </row>
    <row r="476" spans="1:18" x14ac:dyDescent="0.35">
      <c r="A476" s="26">
        <v>2</v>
      </c>
      <c r="B476" s="8" t="s">
        <v>1527</v>
      </c>
      <c r="C476" s="41" t="str">
        <f>VLOOKUP(B476,'Project Resource Master'!C:N,5,0)</f>
        <v>Ash veneer - Q-Cut</v>
      </c>
      <c r="D476" s="50">
        <v>2</v>
      </c>
      <c r="E476" s="50">
        <v>1</v>
      </c>
      <c r="F476" s="50">
        <v>1</v>
      </c>
      <c r="G476" s="50">
        <v>1</v>
      </c>
      <c r="H476" s="50">
        <v>1</v>
      </c>
      <c r="I476" s="50">
        <v>1</v>
      </c>
      <c r="J476" s="50">
        <f>PRODUCT(D476:I476)</f>
        <v>2</v>
      </c>
      <c r="K476" s="41" t="str">
        <f>VLOOKUP(B476,'Project Resource Master'!C:N,6,0)</f>
        <v>sqm</v>
      </c>
      <c r="L476" s="50">
        <f>VLOOKUP(B476,'Project Resource Master'!C:N,11,0)</f>
        <v>0.05</v>
      </c>
      <c r="M476" s="50">
        <f>J476*L476</f>
        <v>0.1</v>
      </c>
      <c r="N476" s="50">
        <f>+J476+M476</f>
        <v>2.1</v>
      </c>
      <c r="O476" s="50">
        <f>VLOOKUP(B476,'Project Resource Master'!C:N,12,0)</f>
        <v>80</v>
      </c>
      <c r="P476" s="50">
        <f>+O476*N476</f>
        <v>168</v>
      </c>
      <c r="Q476" s="50">
        <f>+N476*B471</f>
        <v>336</v>
      </c>
      <c r="R476" s="50">
        <f>Q476*O476</f>
        <v>26880</v>
      </c>
    </row>
    <row r="477" spans="1:18" x14ac:dyDescent="0.35">
      <c r="A477" s="26">
        <v>3</v>
      </c>
      <c r="B477" s="8" t="s">
        <v>1528</v>
      </c>
      <c r="C477" s="41" t="str">
        <f>VLOOKUP(B477,'Project Resource Master'!C:N,5,0)</f>
        <v>Balancer Veneer</v>
      </c>
      <c r="D477" s="50">
        <v>2</v>
      </c>
      <c r="E477" s="50">
        <v>1</v>
      </c>
      <c r="F477" s="50">
        <v>1</v>
      </c>
      <c r="G477" s="50">
        <v>1</v>
      </c>
      <c r="H477" s="50">
        <v>1</v>
      </c>
      <c r="I477" s="50">
        <v>1</v>
      </c>
      <c r="J477" s="50">
        <f>PRODUCT(D477:I477)</f>
        <v>2</v>
      </c>
      <c r="K477" s="41" t="str">
        <f>VLOOKUP(B477,'Project Resource Master'!C:N,6,0)</f>
        <v>sqm</v>
      </c>
      <c r="L477" s="50">
        <f>VLOOKUP(B477,'Project Resource Master'!C:N,11,0)</f>
        <v>0.05</v>
      </c>
      <c r="M477" s="50">
        <f>J477*L477</f>
        <v>0.1</v>
      </c>
      <c r="N477" s="50">
        <f>+J477+M477</f>
        <v>2.1</v>
      </c>
      <c r="O477" s="50">
        <f>VLOOKUP(B477,'Project Resource Master'!C:N,12,0)</f>
        <v>50</v>
      </c>
      <c r="P477" s="50">
        <f>+O477*N477</f>
        <v>105</v>
      </c>
      <c r="Q477" s="50">
        <f>+N477*B471</f>
        <v>336</v>
      </c>
      <c r="R477" s="50">
        <f>Q477*O477</f>
        <v>16800</v>
      </c>
    </row>
    <row r="478" spans="1:18" x14ac:dyDescent="0.35">
      <c r="A478" s="26">
        <v>4</v>
      </c>
      <c r="B478" s="8" t="s">
        <v>1526</v>
      </c>
      <c r="C478" s="41" t="str">
        <f>VLOOKUP(B478,'Project Resource Master'!C:N,5,0)</f>
        <v>Ash wood - 2" x 8" - AD</v>
      </c>
      <c r="D478" s="50">
        <v>4</v>
      </c>
      <c r="E478" s="50">
        <v>1</v>
      </c>
      <c r="F478" s="50">
        <v>1</v>
      </c>
      <c r="G478" s="50">
        <f>1/12</f>
        <v>8.3333333333333329E-2</v>
      </c>
      <c r="H478" s="50">
        <f>0.5/12</f>
        <v>4.1666666666666664E-2</v>
      </c>
      <c r="I478" s="50">
        <v>1</v>
      </c>
      <c r="J478" s="50">
        <f>PRODUCT(D478:I478)</f>
        <v>1.3888888888888888E-2</v>
      </c>
      <c r="K478" s="41" t="str">
        <f>VLOOKUP(B478,'Project Resource Master'!C:N,6,0)</f>
        <v>cft</v>
      </c>
      <c r="L478" s="50">
        <f>VLOOKUP(B478,'Project Resource Master'!C:N,11,0)</f>
        <v>0.1</v>
      </c>
      <c r="M478" s="50">
        <f>J478*L478</f>
        <v>1.3888888888888889E-3</v>
      </c>
      <c r="N478" s="50">
        <f>+J478+M478</f>
        <v>1.5277777777777777E-2</v>
      </c>
      <c r="O478" s="50">
        <f>VLOOKUP(B478,'Project Resource Master'!C:N,12,0)</f>
        <v>50</v>
      </c>
      <c r="P478" s="50">
        <f>+O478*N478</f>
        <v>0.76388888888888884</v>
      </c>
      <c r="Q478" s="50">
        <f>+N478*B471</f>
        <v>2.4444444444444442</v>
      </c>
      <c r="R478" s="50">
        <f>Q478*O478</f>
        <v>122.22222222222221</v>
      </c>
    </row>
    <row r="479" spans="1:18" x14ac:dyDescent="0.35">
      <c r="A479" s="26">
        <v>5</v>
      </c>
      <c r="B479" s="8" t="s">
        <v>1536</v>
      </c>
      <c r="C479" s="41" t="str">
        <f>VLOOKUP(B479,'Project Resource Master'!C:N,5,0)</f>
        <v>Meranti wood - 2" x 8" - AD</v>
      </c>
      <c r="D479" s="50">
        <v>4</v>
      </c>
      <c r="E479" s="50">
        <v>1</v>
      </c>
      <c r="F479" s="50">
        <v>1</v>
      </c>
      <c r="G479" s="50">
        <f>2/12</f>
        <v>0.16666666666666666</v>
      </c>
      <c r="H479" s="50">
        <f>2/12</f>
        <v>0.16666666666666666</v>
      </c>
      <c r="I479" s="50">
        <v>1</v>
      </c>
      <c r="J479" s="50">
        <f>PRODUCT(D479:I479)</f>
        <v>0.1111111111111111</v>
      </c>
      <c r="K479" s="41" t="str">
        <f>VLOOKUP(B479,'Project Resource Master'!C:N,6,0)</f>
        <v>cft</v>
      </c>
      <c r="L479" s="50">
        <f>VLOOKUP(B479,'Project Resource Master'!C:N,11,0)</f>
        <v>0.1</v>
      </c>
      <c r="M479" s="50">
        <f>J479*L479</f>
        <v>1.1111111111111112E-2</v>
      </c>
      <c r="N479" s="50">
        <f>+J479+M479</f>
        <v>0.12222222222222222</v>
      </c>
      <c r="O479" s="50">
        <f>VLOOKUP(B479,'Project Resource Master'!C:N,12,0)</f>
        <v>80</v>
      </c>
      <c r="P479" s="50">
        <f>+O479*N479</f>
        <v>9.7777777777777768</v>
      </c>
      <c r="Q479" s="50">
        <f>+N479*B471</f>
        <v>19.555555555555554</v>
      </c>
      <c r="R479" s="50">
        <f>Q479*O479</f>
        <v>1564.4444444444443</v>
      </c>
    </row>
    <row r="480" spans="1:18" x14ac:dyDescent="0.35">
      <c r="A480" s="26">
        <v>6</v>
      </c>
      <c r="B480" s="8" t="s">
        <v>1497</v>
      </c>
      <c r="C480" s="41" t="str">
        <f>VLOOKUP(B480,'Project Resource Master'!C:N,5,0)</f>
        <v>Helper</v>
      </c>
      <c r="D480" s="50">
        <v>4</v>
      </c>
      <c r="E480" s="50">
        <v>2</v>
      </c>
      <c r="F480" s="50">
        <v>1</v>
      </c>
      <c r="G480" s="50">
        <v>1</v>
      </c>
      <c r="H480" s="50">
        <v>1</v>
      </c>
      <c r="I480" s="50">
        <v>1</v>
      </c>
      <c r="J480" s="50">
        <f>PRODUCT(D480:I480)</f>
        <v>8</v>
      </c>
      <c r="K480" s="41" t="str">
        <f>VLOOKUP(B480,'Project Resource Master'!C:N,6,0)</f>
        <v>hr</v>
      </c>
      <c r="L480" s="50">
        <f>VLOOKUP(B480,'Project Resource Master'!C:N,11,0)</f>
        <v>0.2</v>
      </c>
      <c r="M480" s="50">
        <f>J480*L480</f>
        <v>1.6</v>
      </c>
      <c r="N480" s="50">
        <f>+J480+M480</f>
        <v>9.6</v>
      </c>
      <c r="O480" s="50">
        <f>VLOOKUP(B480,'Project Resource Master'!C:N,12,0)</f>
        <v>100</v>
      </c>
      <c r="P480" s="50">
        <f>+O480*N480</f>
        <v>960</v>
      </c>
      <c r="Q480" s="50">
        <f>+N480*B471</f>
        <v>1536</v>
      </c>
      <c r="R480" s="50">
        <f>Q480*O480</f>
        <v>153600</v>
      </c>
    </row>
    <row r="481" spans="1:18" x14ac:dyDescent="0.35">
      <c r="A481" s="26">
        <v>7</v>
      </c>
      <c r="B481" s="8" t="s">
        <v>1496</v>
      </c>
      <c r="C481" s="41" t="str">
        <f>VLOOKUP(B481,'Project Resource Master'!C:N,5,0)</f>
        <v>Carpenter</v>
      </c>
      <c r="D481" s="50">
        <v>4</v>
      </c>
      <c r="E481" s="50">
        <v>2</v>
      </c>
      <c r="F481" s="50">
        <v>1</v>
      </c>
      <c r="G481" s="50">
        <v>1</v>
      </c>
      <c r="H481" s="50">
        <v>1</v>
      </c>
      <c r="I481" s="50">
        <v>1</v>
      </c>
      <c r="J481" s="50">
        <f>PRODUCT(D481:I481)</f>
        <v>8</v>
      </c>
      <c r="K481" s="41" t="str">
        <f>VLOOKUP(B481,'Project Resource Master'!C:N,6,0)</f>
        <v>hr</v>
      </c>
      <c r="L481" s="50">
        <f>VLOOKUP(B481,'Project Resource Master'!C:N,11,0)</f>
        <v>0.2</v>
      </c>
      <c r="M481" s="50">
        <f>J481*L481</f>
        <v>1.6</v>
      </c>
      <c r="N481" s="50">
        <f>+J481+M481</f>
        <v>9.6</v>
      </c>
      <c r="O481" s="50">
        <f>VLOOKUP(B481,'Project Resource Master'!C:N,12,0)</f>
        <v>100</v>
      </c>
      <c r="P481" s="50">
        <f>+O481*N481</f>
        <v>960</v>
      </c>
      <c r="Q481" s="50">
        <f>+N481*B471</f>
        <v>1536</v>
      </c>
      <c r="R481" s="50">
        <f>Q481*O481</f>
        <v>153600</v>
      </c>
    </row>
    <row r="482" spans="1:18" x14ac:dyDescent="0.35">
      <c r="A482" s="27"/>
      <c r="B482" s="41"/>
      <c r="C482" s="41"/>
      <c r="D482" s="50"/>
      <c r="E482" s="50"/>
      <c r="F482" s="50"/>
      <c r="G482" s="50"/>
      <c r="H482" s="50"/>
      <c r="I482" s="50"/>
      <c r="J482" s="50"/>
      <c r="K482" s="41"/>
      <c r="L482" s="50"/>
      <c r="M482" s="50"/>
      <c r="N482" s="50"/>
      <c r="O482" s="50"/>
      <c r="P482" s="50"/>
      <c r="Q482" s="50"/>
      <c r="R482" s="50"/>
    </row>
    <row r="483" spans="1:18" s="14" customFormat="1" x14ac:dyDescent="0.35">
      <c r="A483" s="29" t="str">
        <f>B469</f>
        <v>5f</v>
      </c>
      <c r="B483" s="7"/>
      <c r="C483" s="7" t="s">
        <v>1485</v>
      </c>
      <c r="D483" s="51"/>
      <c r="E483" s="51"/>
      <c r="F483" s="51"/>
      <c r="G483" s="51"/>
      <c r="H483" s="51"/>
      <c r="I483" s="51"/>
      <c r="J483" s="51"/>
      <c r="K483" s="7"/>
      <c r="L483" s="51"/>
      <c r="M483" s="51"/>
      <c r="N483" s="51"/>
      <c r="O483" s="51"/>
      <c r="P483" s="51">
        <f>SUM(P474:P482)</f>
        <v>2221.770833333333</v>
      </c>
      <c r="Q483" s="51"/>
      <c r="R483" s="51">
        <f>SUM(R474:R482)</f>
        <v>355483.33333333337</v>
      </c>
    </row>
    <row r="486" spans="1:18" x14ac:dyDescent="0.35">
      <c r="A486" s="29" t="s">
        <v>1348</v>
      </c>
      <c r="B486" s="49" t="s">
        <v>1407</v>
      </c>
      <c r="C486" s="41"/>
      <c r="D486" s="50"/>
      <c r="E486" s="50"/>
      <c r="F486" s="50"/>
      <c r="G486" s="50"/>
      <c r="H486" s="50"/>
      <c r="I486" s="50"/>
      <c r="J486" s="50"/>
      <c r="K486" s="41"/>
      <c r="L486" s="50"/>
      <c r="M486" s="50"/>
      <c r="N486" s="50"/>
      <c r="O486" s="50"/>
      <c r="P486" s="50"/>
      <c r="Q486" s="50"/>
      <c r="R486" s="50"/>
    </row>
    <row r="487" spans="1:18" ht="29" x14ac:dyDescent="0.35">
      <c r="A487" s="29" t="s">
        <v>1450</v>
      </c>
      <c r="B487" s="49" t="str">
        <f>VLOOKUP(B486,'Working BOQ'!A:K,9,0)</f>
        <v>Wall Panelling B</v>
      </c>
      <c r="C487" s="41"/>
      <c r="D487" s="50"/>
      <c r="E487" s="50"/>
      <c r="F487" s="50"/>
      <c r="G487" s="50"/>
      <c r="H487" s="50"/>
      <c r="I487" s="50"/>
      <c r="J487" s="50"/>
      <c r="K487" s="41"/>
      <c r="L487" s="50"/>
      <c r="M487" s="50"/>
      <c r="N487" s="50"/>
      <c r="O487" s="50"/>
      <c r="P487" s="50"/>
      <c r="Q487" s="50"/>
      <c r="R487" s="50"/>
    </row>
    <row r="488" spans="1:18" x14ac:dyDescent="0.35">
      <c r="A488" s="29" t="s">
        <v>1451</v>
      </c>
      <c r="B488" s="49">
        <f>VLOOKUP(B486,'Working BOQ'!A:N,14,0)</f>
        <v>80</v>
      </c>
      <c r="C488" s="41"/>
      <c r="D488" s="50"/>
      <c r="E488" s="50"/>
      <c r="F488" s="50"/>
      <c r="G488" s="50"/>
      <c r="H488" s="50"/>
      <c r="I488" s="50"/>
      <c r="J488" s="50"/>
      <c r="K488" s="41"/>
      <c r="L488" s="50"/>
      <c r="M488" s="50"/>
      <c r="N488" s="50"/>
      <c r="O488" s="50"/>
      <c r="P488" s="50"/>
      <c r="Q488" s="50"/>
      <c r="R488" s="50"/>
    </row>
    <row r="489" spans="1:18" x14ac:dyDescent="0.35">
      <c r="A489" s="29" t="s">
        <v>1</v>
      </c>
      <c r="B489" s="49" t="str">
        <f>VLOOKUP(B486,'Working BOQ'!A:K,11,0)</f>
        <v>sqm</v>
      </c>
      <c r="C489" s="41"/>
      <c r="D489" s="50"/>
      <c r="E489" s="50"/>
      <c r="F489" s="50"/>
      <c r="G489" s="50"/>
      <c r="H489" s="50"/>
      <c r="I489" s="50"/>
      <c r="J489" s="50"/>
      <c r="K489" s="41"/>
      <c r="L489" s="50"/>
      <c r="M489" s="50"/>
      <c r="N489" s="50"/>
      <c r="O489" s="50"/>
      <c r="P489" s="50"/>
      <c r="Q489" s="50"/>
      <c r="R489" s="50"/>
    </row>
    <row r="490" spans="1:18" s="6" customFormat="1" x14ac:dyDescent="0.35">
      <c r="A490" s="24" t="s">
        <v>110</v>
      </c>
      <c r="B490" s="5" t="s">
        <v>112</v>
      </c>
      <c r="C490" s="5" t="s">
        <v>111</v>
      </c>
      <c r="D490" s="16" t="s">
        <v>1200</v>
      </c>
      <c r="E490" s="16" t="s">
        <v>1200</v>
      </c>
      <c r="F490" s="16" t="s">
        <v>1452</v>
      </c>
      <c r="G490" s="16" t="s">
        <v>1453</v>
      </c>
      <c r="H490" s="16" t="s">
        <v>1454</v>
      </c>
      <c r="I490" s="16" t="s">
        <v>1455</v>
      </c>
      <c r="J490" s="16" t="s">
        <v>3</v>
      </c>
      <c r="K490" s="5" t="s">
        <v>1</v>
      </c>
      <c r="L490" s="16" t="s">
        <v>1456</v>
      </c>
      <c r="M490" s="16" t="s">
        <v>1457</v>
      </c>
      <c r="N490" s="16" t="s">
        <v>1458</v>
      </c>
      <c r="O490" s="16" t="s">
        <v>1459</v>
      </c>
      <c r="P490" s="16" t="s">
        <v>1122</v>
      </c>
      <c r="Q490" s="16" t="s">
        <v>1486</v>
      </c>
      <c r="R490" s="16" t="s">
        <v>1498</v>
      </c>
    </row>
    <row r="491" spans="1:18" x14ac:dyDescent="0.35">
      <c r="A491" s="27"/>
      <c r="B491" s="41"/>
      <c r="C491" s="41"/>
      <c r="D491" s="50"/>
      <c r="E491" s="50"/>
      <c r="F491" s="50"/>
      <c r="G491" s="50"/>
      <c r="H491" s="50"/>
      <c r="I491" s="50"/>
      <c r="J491" s="50"/>
      <c r="K491" s="41"/>
      <c r="L491" s="50"/>
      <c r="M491" s="50"/>
      <c r="N491" s="50"/>
      <c r="O491" s="50"/>
      <c r="P491" s="50"/>
      <c r="Q491" s="50"/>
      <c r="R491" s="50"/>
    </row>
    <row r="492" spans="1:18" x14ac:dyDescent="0.35">
      <c r="A492" s="26">
        <v>1</v>
      </c>
      <c r="B492" s="8" t="s">
        <v>1535</v>
      </c>
      <c r="C492" s="41" t="str">
        <f>VLOOKUP(B492,'Project Resource Master'!C:N,5,0)</f>
        <v>18mm MDF - Normal</v>
      </c>
      <c r="D492" s="50">
        <v>1</v>
      </c>
      <c r="E492" s="50">
        <v>2</v>
      </c>
      <c r="F492" s="50">
        <f>1/1.2</f>
        <v>0.83333333333333337</v>
      </c>
      <c r="G492" s="50">
        <v>1</v>
      </c>
      <c r="H492" s="50">
        <f>1/2.4</f>
        <v>0.41666666666666669</v>
      </c>
      <c r="I492" s="50">
        <v>1</v>
      </c>
      <c r="J492" s="50">
        <f>PRODUCT(D492:I492)</f>
        <v>0.69444444444444453</v>
      </c>
      <c r="K492" s="41" t="str">
        <f>VLOOKUP(B492,'Project Resource Master'!C:N,6,0)</f>
        <v>board</v>
      </c>
      <c r="L492" s="50">
        <f>VLOOKUP(B492,'Project Resource Master'!C:N,11,0)</f>
        <v>0.05</v>
      </c>
      <c r="M492" s="50">
        <f>J492*L492</f>
        <v>3.4722222222222231E-2</v>
      </c>
      <c r="N492" s="50">
        <f>+J492+M492</f>
        <v>0.72916666666666674</v>
      </c>
      <c r="O492" s="50">
        <f>VLOOKUP(B492,'Project Resource Master'!C:N,12,0)</f>
        <v>50</v>
      </c>
      <c r="P492" s="50">
        <f>+O492*N492</f>
        <v>36.458333333333336</v>
      </c>
      <c r="Q492" s="50">
        <f>+N492*B488</f>
        <v>58.333333333333343</v>
      </c>
      <c r="R492" s="50">
        <f>Q492*O492</f>
        <v>2916.666666666667</v>
      </c>
    </row>
    <row r="493" spans="1:18" x14ac:dyDescent="0.35">
      <c r="A493" s="26">
        <v>2</v>
      </c>
      <c r="B493" s="8" t="s">
        <v>1529</v>
      </c>
      <c r="C493" s="41" t="str">
        <f>VLOOKUP(B493,'Project Resource Master'!C:N,5,0)</f>
        <v>Beech veneer - Q-Cut</v>
      </c>
      <c r="D493" s="50">
        <v>2</v>
      </c>
      <c r="E493" s="50">
        <v>2</v>
      </c>
      <c r="F493" s="50">
        <v>1</v>
      </c>
      <c r="G493" s="50">
        <v>1</v>
      </c>
      <c r="H493" s="50">
        <v>1</v>
      </c>
      <c r="I493" s="50">
        <v>1</v>
      </c>
      <c r="J493" s="50">
        <f>PRODUCT(D493:I493)</f>
        <v>4</v>
      </c>
      <c r="K493" s="41" t="str">
        <f>VLOOKUP(B493,'Project Resource Master'!C:N,6,0)</f>
        <v>sqm</v>
      </c>
      <c r="L493" s="50">
        <f>VLOOKUP(B493,'Project Resource Master'!C:N,11,0)</f>
        <v>0.1</v>
      </c>
      <c r="M493" s="50">
        <f>J493*L493</f>
        <v>0.4</v>
      </c>
      <c r="N493" s="50">
        <f>+J493+M493</f>
        <v>4.4000000000000004</v>
      </c>
      <c r="O493" s="50">
        <f>VLOOKUP(B493,'Project Resource Master'!C:N,12,0)</f>
        <v>50</v>
      </c>
      <c r="P493" s="50">
        <f>+O493*N493</f>
        <v>220.00000000000003</v>
      </c>
      <c r="Q493" s="50">
        <f>+N493*B488</f>
        <v>352</v>
      </c>
      <c r="R493" s="50">
        <f>Q493*O493</f>
        <v>17600</v>
      </c>
    </row>
    <row r="494" spans="1:18" x14ac:dyDescent="0.35">
      <c r="A494" s="26">
        <v>3</v>
      </c>
      <c r="B494" s="8" t="s">
        <v>1528</v>
      </c>
      <c r="C494" s="41" t="str">
        <f>VLOOKUP(B494,'Project Resource Master'!C:N,5,0)</f>
        <v>Balancer Veneer</v>
      </c>
      <c r="D494" s="50">
        <v>2</v>
      </c>
      <c r="E494" s="50">
        <v>2</v>
      </c>
      <c r="F494" s="50">
        <v>1</v>
      </c>
      <c r="G494" s="50">
        <v>1</v>
      </c>
      <c r="H494" s="50">
        <v>1</v>
      </c>
      <c r="I494" s="50">
        <v>1</v>
      </c>
      <c r="J494" s="50">
        <f>PRODUCT(D494:I494)</f>
        <v>4</v>
      </c>
      <c r="K494" s="41" t="str">
        <f>VLOOKUP(B494,'Project Resource Master'!C:N,6,0)</f>
        <v>sqm</v>
      </c>
      <c r="L494" s="50">
        <f>VLOOKUP(B494,'Project Resource Master'!C:N,11,0)</f>
        <v>0.05</v>
      </c>
      <c r="M494" s="50">
        <f>J494*L494</f>
        <v>0.2</v>
      </c>
      <c r="N494" s="50">
        <f>+J494+M494</f>
        <v>4.2</v>
      </c>
      <c r="O494" s="50">
        <f>VLOOKUP(B494,'Project Resource Master'!C:N,12,0)</f>
        <v>50</v>
      </c>
      <c r="P494" s="50">
        <f>+O494*N494</f>
        <v>210</v>
      </c>
      <c r="Q494" s="50">
        <f>+N494*B488</f>
        <v>336</v>
      </c>
      <c r="R494" s="50">
        <f>Q494*O494</f>
        <v>16800</v>
      </c>
    </row>
    <row r="495" spans="1:18" x14ac:dyDescent="0.35">
      <c r="A495" s="26">
        <v>4</v>
      </c>
      <c r="B495" s="8" t="s">
        <v>1534</v>
      </c>
      <c r="C495" s="41" t="str">
        <f>VLOOKUP(B495,'Project Resource Master'!C:N,5,0)</f>
        <v>Beech wood - 2" x 8" - KD</v>
      </c>
      <c r="D495" s="50">
        <v>4</v>
      </c>
      <c r="E495" s="50">
        <v>2</v>
      </c>
      <c r="F495" s="50">
        <v>1</v>
      </c>
      <c r="G495" s="50">
        <f>1/12</f>
        <v>8.3333333333333329E-2</v>
      </c>
      <c r="H495" s="50">
        <f>0.5/12</f>
        <v>4.1666666666666664E-2</v>
      </c>
      <c r="I495" s="50">
        <v>1</v>
      </c>
      <c r="J495" s="50">
        <f>PRODUCT(D495:I495)</f>
        <v>2.7777777777777776E-2</v>
      </c>
      <c r="K495" s="41" t="str">
        <f>VLOOKUP(B495,'Project Resource Master'!C:N,6,0)</f>
        <v>cft</v>
      </c>
      <c r="L495" s="50">
        <f>VLOOKUP(B495,'Project Resource Master'!C:N,11,0)</f>
        <v>0.1</v>
      </c>
      <c r="M495" s="50">
        <f>J495*L495</f>
        <v>2.7777777777777779E-3</v>
      </c>
      <c r="N495" s="50">
        <f>+J495+M495</f>
        <v>3.0555555555555555E-2</v>
      </c>
      <c r="O495" s="50">
        <f>VLOOKUP(B495,'Project Resource Master'!C:N,12,0)</f>
        <v>50</v>
      </c>
      <c r="P495" s="50">
        <f>+O495*N495</f>
        <v>1.5277777777777777</v>
      </c>
      <c r="Q495" s="50">
        <f>+N495*B488</f>
        <v>2.4444444444444442</v>
      </c>
      <c r="R495" s="50">
        <f>Q495*O495</f>
        <v>122.22222222222221</v>
      </c>
    </row>
    <row r="496" spans="1:18" x14ac:dyDescent="0.35">
      <c r="A496" s="26">
        <v>5</v>
      </c>
      <c r="B496" s="8" t="s">
        <v>1536</v>
      </c>
      <c r="C496" s="41" t="str">
        <f>VLOOKUP(B496,'Project Resource Master'!C:N,5,0)</f>
        <v>Meranti wood - 2" x 8" - AD</v>
      </c>
      <c r="D496" s="50">
        <v>4</v>
      </c>
      <c r="E496" s="50">
        <v>2</v>
      </c>
      <c r="F496" s="50">
        <v>1</v>
      </c>
      <c r="G496" s="50">
        <f>2/12</f>
        <v>0.16666666666666666</v>
      </c>
      <c r="H496" s="50">
        <f>2/12</f>
        <v>0.16666666666666666</v>
      </c>
      <c r="I496" s="50">
        <v>1</v>
      </c>
      <c r="J496" s="50">
        <f>PRODUCT(D496:I496)</f>
        <v>0.22222222222222221</v>
      </c>
      <c r="K496" s="41" t="str">
        <f>VLOOKUP(B496,'Project Resource Master'!C:N,6,0)</f>
        <v>cft</v>
      </c>
      <c r="L496" s="50">
        <f>VLOOKUP(B496,'Project Resource Master'!C:N,11,0)</f>
        <v>0.1</v>
      </c>
      <c r="M496" s="50">
        <f>J496*L496</f>
        <v>2.2222222222222223E-2</v>
      </c>
      <c r="N496" s="50">
        <f>+J496+M496</f>
        <v>0.24444444444444444</v>
      </c>
      <c r="O496" s="50">
        <f>VLOOKUP(B496,'Project Resource Master'!C:N,12,0)</f>
        <v>80</v>
      </c>
      <c r="P496" s="50">
        <f>+O496*N496</f>
        <v>19.555555555555554</v>
      </c>
      <c r="Q496" s="50">
        <f>+N496*B488</f>
        <v>19.555555555555554</v>
      </c>
      <c r="R496" s="50">
        <f>Q496*O496</f>
        <v>1564.4444444444443</v>
      </c>
    </row>
    <row r="497" spans="1:18" x14ac:dyDescent="0.35">
      <c r="A497" s="26">
        <v>6</v>
      </c>
      <c r="B497" s="8" t="s">
        <v>1497</v>
      </c>
      <c r="C497" s="41" t="str">
        <f>VLOOKUP(B497,'Project Resource Master'!C:N,5,0)</f>
        <v>Helper</v>
      </c>
      <c r="D497" s="50">
        <v>6</v>
      </c>
      <c r="E497" s="50">
        <v>2</v>
      </c>
      <c r="F497" s="50">
        <v>1</v>
      </c>
      <c r="G497" s="50">
        <v>1</v>
      </c>
      <c r="H497" s="50">
        <v>1</v>
      </c>
      <c r="I497" s="50">
        <v>1</v>
      </c>
      <c r="J497" s="50">
        <f>PRODUCT(D497:I497)</f>
        <v>12</v>
      </c>
      <c r="K497" s="41" t="str">
        <f>VLOOKUP(B497,'Project Resource Master'!C:N,6,0)</f>
        <v>hr</v>
      </c>
      <c r="L497" s="50">
        <f>VLOOKUP(B497,'Project Resource Master'!C:N,11,0)</f>
        <v>0.2</v>
      </c>
      <c r="M497" s="50">
        <f>J497*L497</f>
        <v>2.4000000000000004</v>
      </c>
      <c r="N497" s="50">
        <f>+J497+M497</f>
        <v>14.4</v>
      </c>
      <c r="O497" s="50">
        <f>VLOOKUP(B497,'Project Resource Master'!C:N,12,0)</f>
        <v>100</v>
      </c>
      <c r="P497" s="50">
        <f>+O497*N497</f>
        <v>1440</v>
      </c>
      <c r="Q497" s="50">
        <f>+N497*B488</f>
        <v>1152</v>
      </c>
      <c r="R497" s="50">
        <f>Q497*O497</f>
        <v>115200</v>
      </c>
    </row>
    <row r="498" spans="1:18" x14ac:dyDescent="0.35">
      <c r="A498" s="26">
        <v>7</v>
      </c>
      <c r="B498" s="8" t="s">
        <v>1496</v>
      </c>
      <c r="C498" s="41" t="str">
        <f>VLOOKUP(B498,'Project Resource Master'!C:N,5,0)</f>
        <v>Carpenter</v>
      </c>
      <c r="D498" s="50">
        <v>6</v>
      </c>
      <c r="E498" s="50">
        <v>2</v>
      </c>
      <c r="F498" s="50">
        <v>1</v>
      </c>
      <c r="G498" s="50">
        <v>1</v>
      </c>
      <c r="H498" s="50">
        <v>1</v>
      </c>
      <c r="I498" s="50">
        <v>1</v>
      </c>
      <c r="J498" s="50">
        <f>PRODUCT(D498:I498)</f>
        <v>12</v>
      </c>
      <c r="K498" s="41" t="str">
        <f>VLOOKUP(B498,'Project Resource Master'!C:N,6,0)</f>
        <v>hr</v>
      </c>
      <c r="L498" s="50">
        <f>VLOOKUP(B498,'Project Resource Master'!C:N,11,0)</f>
        <v>0.2</v>
      </c>
      <c r="M498" s="50">
        <f>J498*L498</f>
        <v>2.4000000000000004</v>
      </c>
      <c r="N498" s="50">
        <f>+J498+M498</f>
        <v>14.4</v>
      </c>
      <c r="O498" s="50">
        <f>VLOOKUP(B498,'Project Resource Master'!C:N,12,0)</f>
        <v>100</v>
      </c>
      <c r="P498" s="50">
        <f>+O498*N498</f>
        <v>1440</v>
      </c>
      <c r="Q498" s="50">
        <f>+N498*B488</f>
        <v>1152</v>
      </c>
      <c r="R498" s="50">
        <f>Q498*O498</f>
        <v>115200</v>
      </c>
    </row>
    <row r="499" spans="1:18" x14ac:dyDescent="0.35">
      <c r="A499" s="27"/>
      <c r="B499" s="41"/>
      <c r="C499" s="41"/>
      <c r="D499" s="50"/>
      <c r="E499" s="50"/>
      <c r="F499" s="50"/>
      <c r="G499" s="50"/>
      <c r="H499" s="50"/>
      <c r="I499" s="50"/>
      <c r="J499" s="50"/>
      <c r="K499" s="41"/>
      <c r="L499" s="50"/>
      <c r="M499" s="50"/>
      <c r="N499" s="50"/>
      <c r="O499" s="50"/>
      <c r="P499" s="50"/>
      <c r="Q499" s="50"/>
      <c r="R499" s="50"/>
    </row>
    <row r="500" spans="1:18" s="14" customFormat="1" x14ac:dyDescent="0.35">
      <c r="A500" s="29" t="str">
        <f>B486</f>
        <v>5g</v>
      </c>
      <c r="B500" s="7"/>
      <c r="C500" s="7" t="s">
        <v>1485</v>
      </c>
      <c r="D500" s="51"/>
      <c r="E500" s="51"/>
      <c r="F500" s="51"/>
      <c r="G500" s="51"/>
      <c r="H500" s="51"/>
      <c r="I500" s="51"/>
      <c r="J500" s="51"/>
      <c r="K500" s="7"/>
      <c r="L500" s="51"/>
      <c r="M500" s="51"/>
      <c r="N500" s="51"/>
      <c r="O500" s="51"/>
      <c r="P500" s="51">
        <f>SUM(P491:P499)</f>
        <v>3367.541666666667</v>
      </c>
      <c r="Q500" s="51"/>
      <c r="R500" s="51">
        <f>SUM(R491:R499)</f>
        <v>269403.33333333337</v>
      </c>
    </row>
    <row r="503" spans="1:18" x14ac:dyDescent="0.35">
      <c r="A503" s="29" t="s">
        <v>1348</v>
      </c>
      <c r="B503" s="49" t="s">
        <v>1408</v>
      </c>
      <c r="C503" s="41"/>
      <c r="D503" s="50"/>
      <c r="E503" s="50"/>
      <c r="F503" s="50"/>
      <c r="G503" s="50"/>
      <c r="H503" s="50"/>
      <c r="I503" s="50"/>
      <c r="J503" s="50"/>
      <c r="K503" s="41"/>
      <c r="L503" s="50"/>
      <c r="M503" s="50"/>
      <c r="N503" s="50"/>
      <c r="O503" s="50"/>
      <c r="P503" s="50"/>
      <c r="Q503" s="50"/>
      <c r="R503" s="50"/>
    </row>
    <row r="504" spans="1:18" ht="29" x14ac:dyDescent="0.35">
      <c r="A504" s="29" t="s">
        <v>1450</v>
      </c>
      <c r="B504" s="49" t="str">
        <f>VLOOKUP(B503,'Working BOQ'!A:K,9,0)</f>
        <v>Ceiling Panelling</v>
      </c>
      <c r="C504" s="41"/>
      <c r="D504" s="50"/>
      <c r="E504" s="50"/>
      <c r="F504" s="50"/>
      <c r="G504" s="50"/>
      <c r="H504" s="50"/>
      <c r="I504" s="50"/>
      <c r="J504" s="50"/>
      <c r="K504" s="41"/>
      <c r="L504" s="50"/>
      <c r="M504" s="50"/>
      <c r="N504" s="50"/>
      <c r="O504" s="50"/>
      <c r="P504" s="50"/>
      <c r="Q504" s="50"/>
      <c r="R504" s="50"/>
    </row>
    <row r="505" spans="1:18" x14ac:dyDescent="0.35">
      <c r="A505" s="29" t="s">
        <v>1451</v>
      </c>
      <c r="B505" s="49">
        <f>VLOOKUP(B503,'Working BOQ'!A:N,14,0)</f>
        <v>300</v>
      </c>
      <c r="C505" s="41"/>
      <c r="D505" s="50"/>
      <c r="E505" s="50"/>
      <c r="F505" s="50"/>
      <c r="G505" s="50"/>
      <c r="H505" s="50"/>
      <c r="I505" s="50"/>
      <c r="J505" s="50"/>
      <c r="K505" s="41"/>
      <c r="L505" s="50"/>
      <c r="M505" s="50"/>
      <c r="N505" s="50"/>
      <c r="O505" s="50"/>
      <c r="P505" s="50"/>
      <c r="Q505" s="50"/>
      <c r="R505" s="50"/>
    </row>
    <row r="506" spans="1:18" x14ac:dyDescent="0.35">
      <c r="A506" s="29" t="s">
        <v>1</v>
      </c>
      <c r="B506" s="49" t="str">
        <f>VLOOKUP(B503,'Working BOQ'!A:K,11,0)</f>
        <v>Nos</v>
      </c>
      <c r="C506" s="41"/>
      <c r="D506" s="50"/>
      <c r="E506" s="50"/>
      <c r="F506" s="50"/>
      <c r="G506" s="50"/>
      <c r="H506" s="50"/>
      <c r="I506" s="50"/>
      <c r="J506" s="50"/>
      <c r="K506" s="41"/>
      <c r="L506" s="50"/>
      <c r="M506" s="50"/>
      <c r="N506" s="50"/>
      <c r="O506" s="50"/>
      <c r="P506" s="50"/>
      <c r="Q506" s="50"/>
      <c r="R506" s="50"/>
    </row>
    <row r="507" spans="1:18" s="6" customFormat="1" x14ac:dyDescent="0.35">
      <c r="A507" s="24" t="s">
        <v>110</v>
      </c>
      <c r="B507" s="5" t="s">
        <v>112</v>
      </c>
      <c r="C507" s="5" t="s">
        <v>111</v>
      </c>
      <c r="D507" s="16" t="s">
        <v>1200</v>
      </c>
      <c r="E507" s="16" t="s">
        <v>1200</v>
      </c>
      <c r="F507" s="16" t="s">
        <v>1452</v>
      </c>
      <c r="G507" s="16" t="s">
        <v>1453</v>
      </c>
      <c r="H507" s="16" t="s">
        <v>1454</v>
      </c>
      <c r="I507" s="16" t="s">
        <v>1455</v>
      </c>
      <c r="J507" s="16" t="s">
        <v>3</v>
      </c>
      <c r="K507" s="5" t="s">
        <v>1</v>
      </c>
      <c r="L507" s="16" t="s">
        <v>1456</v>
      </c>
      <c r="M507" s="16" t="s">
        <v>1457</v>
      </c>
      <c r="N507" s="16" t="s">
        <v>1458</v>
      </c>
      <c r="O507" s="16" t="s">
        <v>1459</v>
      </c>
      <c r="P507" s="16" t="s">
        <v>1122</v>
      </c>
      <c r="Q507" s="16" t="s">
        <v>1486</v>
      </c>
      <c r="R507" s="16" t="s">
        <v>1498</v>
      </c>
    </row>
    <row r="508" spans="1:18" x14ac:dyDescent="0.35">
      <c r="A508" s="27"/>
      <c r="B508" s="41"/>
      <c r="C508" s="41"/>
      <c r="D508" s="50"/>
      <c r="E508" s="50"/>
      <c r="F508" s="50"/>
      <c r="G508" s="50"/>
      <c r="H508" s="50"/>
      <c r="I508" s="50"/>
      <c r="J508" s="50"/>
      <c r="K508" s="41"/>
      <c r="L508" s="50"/>
      <c r="M508" s="50"/>
      <c r="N508" s="50"/>
      <c r="O508" s="50"/>
      <c r="P508" s="50"/>
      <c r="Q508" s="50"/>
      <c r="R508" s="50"/>
    </row>
    <row r="509" spans="1:18" x14ac:dyDescent="0.35">
      <c r="A509" s="26">
        <v>1</v>
      </c>
      <c r="B509" s="8" t="s">
        <v>1535</v>
      </c>
      <c r="C509" s="41" t="str">
        <f>VLOOKUP(B509,'Project Resource Master'!C:N,5,0)</f>
        <v>18mm MDF - Normal</v>
      </c>
      <c r="D509" s="50">
        <v>5</v>
      </c>
      <c r="E509" s="50">
        <v>1</v>
      </c>
      <c r="F509" s="50">
        <f>1/1.2</f>
        <v>0.83333333333333337</v>
      </c>
      <c r="G509" s="50">
        <v>1</v>
      </c>
      <c r="H509" s="50">
        <f>2/2.4</f>
        <v>0.83333333333333337</v>
      </c>
      <c r="I509" s="50">
        <v>1</v>
      </c>
      <c r="J509" s="50">
        <f>PRODUCT(D509:I509)</f>
        <v>3.4722222222222228</v>
      </c>
      <c r="K509" s="41" t="str">
        <f>VLOOKUP(B509,'Project Resource Master'!C:N,6,0)</f>
        <v>board</v>
      </c>
      <c r="L509" s="50">
        <f>VLOOKUP(B509,'Project Resource Master'!C:N,11,0)</f>
        <v>0.05</v>
      </c>
      <c r="M509" s="50">
        <f>J509*L509</f>
        <v>0.17361111111111116</v>
      </c>
      <c r="N509" s="50">
        <f>+J509+M509</f>
        <v>3.6458333333333339</v>
      </c>
      <c r="O509" s="50">
        <f>VLOOKUP(B509,'Project Resource Master'!C:N,12,0)</f>
        <v>50</v>
      </c>
      <c r="P509" s="50">
        <f>+O509*N509</f>
        <v>182.29166666666669</v>
      </c>
      <c r="Q509" s="50">
        <f>+N509*B505</f>
        <v>1093.7500000000002</v>
      </c>
      <c r="R509" s="50">
        <f>Q509*O509</f>
        <v>54687.500000000015</v>
      </c>
    </row>
    <row r="510" spans="1:18" x14ac:dyDescent="0.35">
      <c r="A510" s="26">
        <v>2</v>
      </c>
      <c r="B510" s="8" t="s">
        <v>1529</v>
      </c>
      <c r="C510" s="41" t="str">
        <f>VLOOKUP(B510,'Project Resource Master'!C:N,5,0)</f>
        <v>Beech veneer - Q-Cut</v>
      </c>
      <c r="D510" s="50">
        <v>5</v>
      </c>
      <c r="E510" s="50">
        <v>1</v>
      </c>
      <c r="F510" s="50">
        <v>1</v>
      </c>
      <c r="G510" s="50">
        <v>1</v>
      </c>
      <c r="H510" s="50">
        <v>2</v>
      </c>
      <c r="I510" s="50">
        <v>1</v>
      </c>
      <c r="J510" s="50">
        <f>PRODUCT(D510:I510)</f>
        <v>10</v>
      </c>
      <c r="K510" s="41" t="str">
        <f>VLOOKUP(B510,'Project Resource Master'!C:N,6,0)</f>
        <v>sqm</v>
      </c>
      <c r="L510" s="50">
        <f>VLOOKUP(B510,'Project Resource Master'!C:N,11,0)</f>
        <v>0.1</v>
      </c>
      <c r="M510" s="50">
        <f>J510*L510</f>
        <v>1</v>
      </c>
      <c r="N510" s="50">
        <f>+J510+M510</f>
        <v>11</v>
      </c>
      <c r="O510" s="50">
        <f>VLOOKUP(B510,'Project Resource Master'!C:N,12,0)</f>
        <v>50</v>
      </c>
      <c r="P510" s="50">
        <f>+O510*N510</f>
        <v>550</v>
      </c>
      <c r="Q510" s="50">
        <f>+N510*B505</f>
        <v>3300</v>
      </c>
      <c r="R510" s="50">
        <f>Q510*O510</f>
        <v>165000</v>
      </c>
    </row>
    <row r="511" spans="1:18" x14ac:dyDescent="0.35">
      <c r="A511" s="26">
        <v>3</v>
      </c>
      <c r="B511" s="8" t="s">
        <v>1528</v>
      </c>
      <c r="C511" s="41" t="str">
        <f>VLOOKUP(B511,'Project Resource Master'!C:N,5,0)</f>
        <v>Balancer Veneer</v>
      </c>
      <c r="D511" s="50">
        <v>5</v>
      </c>
      <c r="E511" s="50">
        <v>1</v>
      </c>
      <c r="F511" s="50">
        <v>1</v>
      </c>
      <c r="G511" s="50">
        <v>1</v>
      </c>
      <c r="H511" s="50">
        <v>2</v>
      </c>
      <c r="I511" s="50">
        <v>1</v>
      </c>
      <c r="J511" s="50">
        <f>PRODUCT(D511:I511)</f>
        <v>10</v>
      </c>
      <c r="K511" s="41" t="str">
        <f>VLOOKUP(B511,'Project Resource Master'!C:N,6,0)</f>
        <v>sqm</v>
      </c>
      <c r="L511" s="50">
        <f>VLOOKUP(B511,'Project Resource Master'!C:N,11,0)</f>
        <v>0.05</v>
      </c>
      <c r="M511" s="50">
        <f>J511*L511</f>
        <v>0.5</v>
      </c>
      <c r="N511" s="50">
        <f>+J511+M511</f>
        <v>10.5</v>
      </c>
      <c r="O511" s="50">
        <f>VLOOKUP(B511,'Project Resource Master'!C:N,12,0)</f>
        <v>50</v>
      </c>
      <c r="P511" s="50">
        <f>+O511*N511</f>
        <v>525</v>
      </c>
      <c r="Q511" s="50">
        <f>+N511*B505</f>
        <v>3150</v>
      </c>
      <c r="R511" s="50">
        <f>Q511*O511</f>
        <v>157500</v>
      </c>
    </row>
    <row r="512" spans="1:18" x14ac:dyDescent="0.35">
      <c r="A512" s="26">
        <v>4</v>
      </c>
      <c r="B512" s="8" t="s">
        <v>1534</v>
      </c>
      <c r="C512" s="41" t="str">
        <f>VLOOKUP(B512,'Project Resource Master'!C:N,5,0)</f>
        <v>Beech wood - 2" x 8" - KD</v>
      </c>
      <c r="D512" s="50">
        <v>2</v>
      </c>
      <c r="E512" s="50">
        <v>5</v>
      </c>
      <c r="F512" s="50">
        <v>1</v>
      </c>
      <c r="G512" s="50">
        <f>1/12</f>
        <v>8.3333333333333329E-2</v>
      </c>
      <c r="H512" s="50">
        <f>0.5/12</f>
        <v>4.1666666666666664E-2</v>
      </c>
      <c r="I512" s="50">
        <v>1</v>
      </c>
      <c r="J512" s="50">
        <f>PRODUCT(D512:I512)</f>
        <v>3.4722222222222217E-2</v>
      </c>
      <c r="K512" s="41" t="str">
        <f>VLOOKUP(B512,'Project Resource Master'!C:N,6,0)</f>
        <v>cft</v>
      </c>
      <c r="L512" s="50">
        <f>VLOOKUP(B512,'Project Resource Master'!C:N,11,0)</f>
        <v>0.1</v>
      </c>
      <c r="M512" s="50">
        <f>J512*L512</f>
        <v>3.472222222222222E-3</v>
      </c>
      <c r="N512" s="50">
        <f>+J512+M512</f>
        <v>3.8194444444444441E-2</v>
      </c>
      <c r="O512" s="50">
        <f>VLOOKUP(B512,'Project Resource Master'!C:N,12,0)</f>
        <v>50</v>
      </c>
      <c r="P512" s="50">
        <f>+O512*N512</f>
        <v>1.9097222222222221</v>
      </c>
      <c r="Q512" s="50">
        <f>+N512*B505</f>
        <v>11.458333333333332</v>
      </c>
      <c r="R512" s="50">
        <f>Q512*O512</f>
        <v>572.91666666666663</v>
      </c>
    </row>
    <row r="513" spans="1:18" x14ac:dyDescent="0.35">
      <c r="A513" s="26">
        <v>5</v>
      </c>
      <c r="B513" s="8" t="s">
        <v>1534</v>
      </c>
      <c r="C513" s="41" t="str">
        <f>VLOOKUP(B513,'Project Resource Master'!C:N,5,0)</f>
        <v>Beech wood - 2" x 8" - KD</v>
      </c>
      <c r="D513" s="50">
        <v>2</v>
      </c>
      <c r="E513" s="50">
        <v>5</v>
      </c>
      <c r="F513" s="50">
        <v>2</v>
      </c>
      <c r="G513" s="50">
        <f>1/12</f>
        <v>8.3333333333333329E-2</v>
      </c>
      <c r="H513" s="50">
        <f>0.5/12</f>
        <v>4.1666666666666664E-2</v>
      </c>
      <c r="I513" s="50">
        <v>1</v>
      </c>
      <c r="J513" s="50">
        <f>PRODUCT(D513:I513)</f>
        <v>6.9444444444444434E-2</v>
      </c>
      <c r="K513" s="41" t="str">
        <f>VLOOKUP(B513,'Project Resource Master'!C:N,6,0)</f>
        <v>cft</v>
      </c>
      <c r="L513" s="50">
        <f>VLOOKUP(B513,'Project Resource Master'!C:N,11,0)</f>
        <v>0.1</v>
      </c>
      <c r="M513" s="50">
        <f>J513*L513</f>
        <v>6.9444444444444441E-3</v>
      </c>
      <c r="N513" s="50">
        <f>+J513+M513</f>
        <v>7.6388888888888881E-2</v>
      </c>
      <c r="O513" s="50">
        <f>VLOOKUP(B513,'Project Resource Master'!C:N,12,0)</f>
        <v>50</v>
      </c>
      <c r="P513" s="50">
        <f>+O513*N513</f>
        <v>3.8194444444444442</v>
      </c>
      <c r="Q513" s="50">
        <f>+N513*B505</f>
        <v>22.916666666666664</v>
      </c>
      <c r="R513" s="50">
        <f>Q513*O513</f>
        <v>1145.8333333333333</v>
      </c>
    </row>
    <row r="514" spans="1:18" x14ac:dyDescent="0.35">
      <c r="A514" s="26">
        <v>6</v>
      </c>
      <c r="B514" s="8" t="s">
        <v>1536</v>
      </c>
      <c r="C514" s="41" t="str">
        <f>VLOOKUP(B514,'Project Resource Master'!C:N,5,0)</f>
        <v>Meranti wood - 2" x 8" - AD</v>
      </c>
      <c r="D514" s="50">
        <v>8</v>
      </c>
      <c r="E514" s="50">
        <v>5</v>
      </c>
      <c r="F514" s="50">
        <v>1</v>
      </c>
      <c r="G514" s="50">
        <f>2/12</f>
        <v>0.16666666666666666</v>
      </c>
      <c r="H514" s="50">
        <f>2/12</f>
        <v>0.16666666666666666</v>
      </c>
      <c r="I514" s="50">
        <v>1</v>
      </c>
      <c r="J514" s="50">
        <f>PRODUCT(D514:I514)</f>
        <v>1.1111111111111109</v>
      </c>
      <c r="K514" s="41" t="str">
        <f>VLOOKUP(B514,'Project Resource Master'!C:N,6,0)</f>
        <v>cft</v>
      </c>
      <c r="L514" s="50">
        <f>VLOOKUP(B514,'Project Resource Master'!C:N,11,0)</f>
        <v>0.1</v>
      </c>
      <c r="M514" s="50">
        <f>J514*L514</f>
        <v>0.1111111111111111</v>
      </c>
      <c r="N514" s="50">
        <f>+J514+M514</f>
        <v>1.2222222222222221</v>
      </c>
      <c r="O514" s="50">
        <f>VLOOKUP(B514,'Project Resource Master'!C:N,12,0)</f>
        <v>80</v>
      </c>
      <c r="P514" s="50">
        <f>+O514*N514</f>
        <v>97.777777777777771</v>
      </c>
      <c r="Q514" s="50">
        <f>+N514*B505</f>
        <v>366.66666666666663</v>
      </c>
      <c r="R514" s="50">
        <f>Q514*O514</f>
        <v>29333.333333333328</v>
      </c>
    </row>
    <row r="515" spans="1:18" x14ac:dyDescent="0.35">
      <c r="A515" s="26">
        <v>7</v>
      </c>
      <c r="B515" s="8" t="s">
        <v>1536</v>
      </c>
      <c r="C515" s="41" t="str">
        <f>VLOOKUP(B515,'Project Resource Master'!C:N,5,0)</f>
        <v>Meranti wood - 2" x 8" - AD</v>
      </c>
      <c r="D515" s="50">
        <v>4</v>
      </c>
      <c r="E515" s="50">
        <v>5</v>
      </c>
      <c r="F515" s="50">
        <v>2</v>
      </c>
      <c r="G515" s="50">
        <f>2/12</f>
        <v>0.16666666666666666</v>
      </c>
      <c r="H515" s="50">
        <f>2/12</f>
        <v>0.16666666666666666</v>
      </c>
      <c r="I515" s="50">
        <v>1</v>
      </c>
      <c r="J515" s="50">
        <f>PRODUCT(D515:I515)</f>
        <v>1.1111111111111109</v>
      </c>
      <c r="K515" s="41" t="str">
        <f>VLOOKUP(B515,'Project Resource Master'!C:N,6,0)</f>
        <v>cft</v>
      </c>
      <c r="L515" s="50">
        <f>VLOOKUP(B515,'Project Resource Master'!C:N,11,0)</f>
        <v>0.1</v>
      </c>
      <c r="M515" s="50">
        <f>J515*L515</f>
        <v>0.1111111111111111</v>
      </c>
      <c r="N515" s="50">
        <f>+J515+M515</f>
        <v>1.2222222222222221</v>
      </c>
      <c r="O515" s="50">
        <f>VLOOKUP(B515,'Project Resource Master'!C:N,12,0)</f>
        <v>80</v>
      </c>
      <c r="P515" s="50">
        <f>+O515*N515</f>
        <v>97.777777777777771</v>
      </c>
      <c r="Q515" s="50">
        <f>+N515*B505</f>
        <v>366.66666666666663</v>
      </c>
      <c r="R515" s="50">
        <f>Q515*O515</f>
        <v>29333.333333333328</v>
      </c>
    </row>
    <row r="516" spans="1:18" x14ac:dyDescent="0.35">
      <c r="A516" s="26">
        <v>8</v>
      </c>
      <c r="B516" s="8" t="s">
        <v>1497</v>
      </c>
      <c r="C516" s="41" t="str">
        <f>VLOOKUP(B516,'Project Resource Master'!C:N,5,0)</f>
        <v>Helper</v>
      </c>
      <c r="D516" s="50">
        <v>20</v>
      </c>
      <c r="E516" s="50">
        <v>2</v>
      </c>
      <c r="F516" s="50">
        <v>1</v>
      </c>
      <c r="G516" s="50">
        <v>1</v>
      </c>
      <c r="H516" s="50">
        <v>1</v>
      </c>
      <c r="I516" s="50">
        <v>1</v>
      </c>
      <c r="J516" s="50">
        <f>PRODUCT(D516:I516)</f>
        <v>40</v>
      </c>
      <c r="K516" s="41" t="str">
        <f>VLOOKUP(B516,'Project Resource Master'!C:N,6,0)</f>
        <v>hr</v>
      </c>
      <c r="L516" s="50">
        <f>VLOOKUP(B516,'Project Resource Master'!C:N,11,0)</f>
        <v>0.2</v>
      </c>
      <c r="M516" s="50">
        <f>J516*L516</f>
        <v>8</v>
      </c>
      <c r="N516" s="50">
        <f>+J516+M516</f>
        <v>48</v>
      </c>
      <c r="O516" s="50">
        <f>VLOOKUP(B516,'Project Resource Master'!C:N,12,0)</f>
        <v>100</v>
      </c>
      <c r="P516" s="50">
        <f>+O516*N516</f>
        <v>4800</v>
      </c>
      <c r="Q516" s="50">
        <f>+N516*B505</f>
        <v>14400</v>
      </c>
      <c r="R516" s="50">
        <f>Q516*O516</f>
        <v>1440000</v>
      </c>
    </row>
    <row r="517" spans="1:18" x14ac:dyDescent="0.35">
      <c r="A517" s="26">
        <v>9</v>
      </c>
      <c r="B517" s="8" t="s">
        <v>1496</v>
      </c>
      <c r="C517" s="41" t="str">
        <f>VLOOKUP(B517,'Project Resource Master'!C:N,5,0)</f>
        <v>Carpenter</v>
      </c>
      <c r="D517" s="50">
        <v>20</v>
      </c>
      <c r="E517" s="50">
        <v>2</v>
      </c>
      <c r="F517" s="50">
        <v>1</v>
      </c>
      <c r="G517" s="50">
        <v>1</v>
      </c>
      <c r="H517" s="50">
        <v>1</v>
      </c>
      <c r="I517" s="50">
        <v>1</v>
      </c>
      <c r="J517" s="50">
        <f>PRODUCT(D517:I517)</f>
        <v>40</v>
      </c>
      <c r="K517" s="41" t="str">
        <f>VLOOKUP(B517,'Project Resource Master'!C:N,6,0)</f>
        <v>hr</v>
      </c>
      <c r="L517" s="50">
        <f>VLOOKUP(B517,'Project Resource Master'!C:N,11,0)</f>
        <v>0.2</v>
      </c>
      <c r="M517" s="50">
        <f>J517*L517</f>
        <v>8</v>
      </c>
      <c r="N517" s="50">
        <f>+J517+M517</f>
        <v>48</v>
      </c>
      <c r="O517" s="50">
        <f>VLOOKUP(B517,'Project Resource Master'!C:N,12,0)</f>
        <v>100</v>
      </c>
      <c r="P517" s="50">
        <f>+O517*N517</f>
        <v>4800</v>
      </c>
      <c r="Q517" s="50">
        <f>+N517*B505</f>
        <v>14400</v>
      </c>
      <c r="R517" s="50">
        <f>Q517*O517</f>
        <v>1440000</v>
      </c>
    </row>
    <row r="518" spans="1:18" x14ac:dyDescent="0.35">
      <c r="A518" s="27"/>
      <c r="B518" s="41"/>
      <c r="C518" s="41"/>
      <c r="D518" s="50"/>
      <c r="E518" s="50"/>
      <c r="F518" s="50"/>
      <c r="G518" s="50"/>
      <c r="H518" s="50"/>
      <c r="I518" s="50"/>
      <c r="J518" s="50"/>
      <c r="K518" s="41"/>
      <c r="L518" s="50"/>
      <c r="M518" s="50"/>
      <c r="N518" s="50"/>
      <c r="O518" s="50"/>
      <c r="P518" s="50"/>
      <c r="Q518" s="50"/>
      <c r="R518" s="50"/>
    </row>
    <row r="519" spans="1:18" s="14" customFormat="1" x14ac:dyDescent="0.35">
      <c r="A519" s="29" t="str">
        <f>B503</f>
        <v>5h</v>
      </c>
      <c r="B519" s="7"/>
      <c r="C519" s="7" t="s">
        <v>1485</v>
      </c>
      <c r="D519" s="51"/>
      <c r="E519" s="51"/>
      <c r="F519" s="51"/>
      <c r="G519" s="51"/>
      <c r="H519" s="51"/>
      <c r="I519" s="51"/>
      <c r="J519" s="51"/>
      <c r="K519" s="7"/>
      <c r="L519" s="51"/>
      <c r="M519" s="51"/>
      <c r="N519" s="51"/>
      <c r="O519" s="51"/>
      <c r="P519" s="51">
        <f>SUM(P508:P518)</f>
        <v>11058.576388888889</v>
      </c>
      <c r="Q519" s="51"/>
      <c r="R519" s="51">
        <f>SUM(R508:R518)</f>
        <v>3317572.9166666665</v>
      </c>
    </row>
    <row r="522" spans="1:18" x14ac:dyDescent="0.35">
      <c r="A522" s="29" t="s">
        <v>1348</v>
      </c>
      <c r="B522" s="49" t="s">
        <v>1409</v>
      </c>
      <c r="C522" s="41"/>
      <c r="D522" s="50"/>
      <c r="E522" s="50"/>
      <c r="F522" s="50"/>
      <c r="G522" s="50"/>
      <c r="H522" s="50"/>
      <c r="I522" s="50"/>
      <c r="J522" s="50"/>
      <c r="K522" s="41"/>
      <c r="L522" s="50"/>
      <c r="M522" s="50"/>
      <c r="N522" s="50"/>
      <c r="O522" s="50"/>
      <c r="P522" s="50"/>
      <c r="Q522" s="50"/>
      <c r="R522" s="50"/>
    </row>
    <row r="523" spans="1:18" ht="29" x14ac:dyDescent="0.35">
      <c r="A523" s="29" t="s">
        <v>1450</v>
      </c>
      <c r="B523" s="49" t="str">
        <f>VLOOKUP(B522,'Working BOQ'!A:K,9,0)</f>
        <v>Wardrobe A</v>
      </c>
      <c r="C523" s="41"/>
      <c r="D523" s="50"/>
      <c r="E523" s="50"/>
      <c r="F523" s="50"/>
      <c r="G523" s="50"/>
      <c r="H523" s="50"/>
      <c r="I523" s="50"/>
      <c r="J523" s="50"/>
      <c r="K523" s="41"/>
      <c r="L523" s="50"/>
      <c r="M523" s="50"/>
      <c r="N523" s="50"/>
      <c r="O523" s="50"/>
      <c r="P523" s="50"/>
      <c r="Q523" s="50"/>
      <c r="R523" s="50"/>
    </row>
    <row r="524" spans="1:18" x14ac:dyDescent="0.35">
      <c r="A524" s="29" t="s">
        <v>1451</v>
      </c>
      <c r="B524" s="49">
        <f>VLOOKUP(B522,'Working BOQ'!A:N,14,0)</f>
        <v>15</v>
      </c>
      <c r="C524" s="41"/>
      <c r="D524" s="50"/>
      <c r="E524" s="50"/>
      <c r="F524" s="50"/>
      <c r="G524" s="50"/>
      <c r="H524" s="50"/>
      <c r="I524" s="50"/>
      <c r="J524" s="50"/>
      <c r="K524" s="41"/>
      <c r="L524" s="50"/>
      <c r="M524" s="50"/>
      <c r="N524" s="50"/>
      <c r="O524" s="50"/>
      <c r="P524" s="50"/>
      <c r="Q524" s="50"/>
      <c r="R524" s="50"/>
    </row>
    <row r="525" spans="1:18" x14ac:dyDescent="0.35">
      <c r="A525" s="29" t="s">
        <v>1</v>
      </c>
      <c r="B525" s="49" t="str">
        <f>VLOOKUP(B522,'Working BOQ'!A:K,11,0)</f>
        <v>Nos</v>
      </c>
      <c r="C525" s="41"/>
      <c r="D525" s="50"/>
      <c r="E525" s="50"/>
      <c r="F525" s="50"/>
      <c r="G525" s="50"/>
      <c r="H525" s="50"/>
      <c r="I525" s="50"/>
      <c r="J525" s="50"/>
      <c r="K525" s="41"/>
      <c r="L525" s="50"/>
      <c r="M525" s="50"/>
      <c r="N525" s="50"/>
      <c r="O525" s="50"/>
      <c r="P525" s="50"/>
      <c r="Q525" s="50"/>
      <c r="R525" s="50"/>
    </row>
    <row r="526" spans="1:18" s="6" customFormat="1" x14ac:dyDescent="0.35">
      <c r="A526" s="24" t="s">
        <v>110</v>
      </c>
      <c r="B526" s="5" t="s">
        <v>112</v>
      </c>
      <c r="C526" s="5" t="s">
        <v>111</v>
      </c>
      <c r="D526" s="16" t="s">
        <v>1200</v>
      </c>
      <c r="E526" s="16" t="s">
        <v>1200</v>
      </c>
      <c r="F526" s="16" t="s">
        <v>1452</v>
      </c>
      <c r="G526" s="16" t="s">
        <v>1453</v>
      </c>
      <c r="H526" s="16" t="s">
        <v>1454</v>
      </c>
      <c r="I526" s="16" t="s">
        <v>1455</v>
      </c>
      <c r="J526" s="16" t="s">
        <v>3</v>
      </c>
      <c r="K526" s="5" t="s">
        <v>1</v>
      </c>
      <c r="L526" s="16" t="s">
        <v>1456</v>
      </c>
      <c r="M526" s="16" t="s">
        <v>1457</v>
      </c>
      <c r="N526" s="16" t="s">
        <v>1458</v>
      </c>
      <c r="O526" s="16" t="s">
        <v>1459</v>
      </c>
      <c r="P526" s="16" t="s">
        <v>1122</v>
      </c>
      <c r="Q526" s="16" t="s">
        <v>1486</v>
      </c>
      <c r="R526" s="16" t="s">
        <v>1498</v>
      </c>
    </row>
    <row r="527" spans="1:18" x14ac:dyDescent="0.35">
      <c r="A527" s="27"/>
      <c r="B527" s="41"/>
      <c r="C527" s="41"/>
      <c r="D527" s="50"/>
      <c r="E527" s="50"/>
      <c r="F527" s="50"/>
      <c r="G527" s="50"/>
      <c r="H527" s="50"/>
      <c r="I527" s="50"/>
      <c r="J527" s="50"/>
      <c r="K527" s="41"/>
      <c r="L527" s="50"/>
      <c r="M527" s="50"/>
      <c r="N527" s="50"/>
      <c r="O527" s="50"/>
      <c r="P527" s="50"/>
      <c r="Q527" s="50"/>
      <c r="R527" s="50"/>
    </row>
    <row r="528" spans="1:18" x14ac:dyDescent="0.35">
      <c r="A528" s="26">
        <v>1</v>
      </c>
      <c r="B528" s="8" t="s">
        <v>1535</v>
      </c>
      <c r="C528" s="41" t="str">
        <f>VLOOKUP(B528,'Project Resource Master'!C:N,5,0)</f>
        <v>18mm MDF - Normal</v>
      </c>
      <c r="D528" s="50">
        <v>2</v>
      </c>
      <c r="E528" s="50">
        <v>1</v>
      </c>
      <c r="F528" s="50">
        <f>1/1.2</f>
        <v>0.83333333333333337</v>
      </c>
      <c r="G528" s="50">
        <v>1</v>
      </c>
      <c r="H528" s="50">
        <f>2/2.4</f>
        <v>0.83333333333333337</v>
      </c>
      <c r="I528" s="50">
        <v>1</v>
      </c>
      <c r="J528" s="50">
        <f>PRODUCT(D528:I528)</f>
        <v>1.3888888888888891</v>
      </c>
      <c r="K528" s="41" t="str">
        <f>VLOOKUP(B528,'Project Resource Master'!C:N,6,0)</f>
        <v>board</v>
      </c>
      <c r="L528" s="50">
        <f>VLOOKUP(B528,'Project Resource Master'!C:N,11,0)</f>
        <v>0.05</v>
      </c>
      <c r="M528" s="50">
        <f>J528*L528</f>
        <v>6.9444444444444461E-2</v>
      </c>
      <c r="N528" s="50">
        <f>+J528+M528</f>
        <v>1.4583333333333335</v>
      </c>
      <c r="O528" s="50">
        <f>VLOOKUP(B528,'Project Resource Master'!C:N,12,0)</f>
        <v>50</v>
      </c>
      <c r="P528" s="50">
        <f>+O528*N528</f>
        <v>72.916666666666671</v>
      </c>
      <c r="Q528" s="50">
        <f>+N528*B524</f>
        <v>21.875000000000004</v>
      </c>
      <c r="R528" s="50">
        <f>Q528*O528</f>
        <v>1093.7500000000002</v>
      </c>
    </row>
    <row r="529" spans="1:18" x14ac:dyDescent="0.35">
      <c r="A529" s="26">
        <v>2</v>
      </c>
      <c r="B529" s="8" t="s">
        <v>1529</v>
      </c>
      <c r="C529" s="41" t="str">
        <f>VLOOKUP(B529,'Project Resource Master'!C:N,5,0)</f>
        <v>Beech veneer - Q-Cut</v>
      </c>
      <c r="D529" s="50">
        <v>2</v>
      </c>
      <c r="E529" s="50">
        <v>1</v>
      </c>
      <c r="F529" s="50">
        <v>1</v>
      </c>
      <c r="G529" s="50">
        <v>1</v>
      </c>
      <c r="H529" s="50">
        <v>2</v>
      </c>
      <c r="I529" s="50">
        <v>1</v>
      </c>
      <c r="J529" s="50">
        <f>PRODUCT(D529:I529)</f>
        <v>4</v>
      </c>
      <c r="K529" s="41" t="str">
        <f>VLOOKUP(B529,'Project Resource Master'!C:N,6,0)</f>
        <v>sqm</v>
      </c>
      <c r="L529" s="50">
        <f>VLOOKUP(B529,'Project Resource Master'!C:N,11,0)</f>
        <v>0.1</v>
      </c>
      <c r="M529" s="50">
        <f>J529*L529</f>
        <v>0.4</v>
      </c>
      <c r="N529" s="50">
        <f>+J529+M529</f>
        <v>4.4000000000000004</v>
      </c>
      <c r="O529" s="50">
        <f>VLOOKUP(B529,'Project Resource Master'!C:N,12,0)</f>
        <v>50</v>
      </c>
      <c r="P529" s="50">
        <f>+O529*N529</f>
        <v>220.00000000000003</v>
      </c>
      <c r="Q529" s="50">
        <f>+N529*B524</f>
        <v>66</v>
      </c>
      <c r="R529" s="50">
        <f>Q529*O529</f>
        <v>3300</v>
      </c>
    </row>
    <row r="530" spans="1:18" x14ac:dyDescent="0.35">
      <c r="A530" s="26">
        <v>3</v>
      </c>
      <c r="B530" s="8" t="s">
        <v>1528</v>
      </c>
      <c r="C530" s="41" t="str">
        <f>VLOOKUP(B530,'Project Resource Master'!C:N,5,0)</f>
        <v>Balancer Veneer</v>
      </c>
      <c r="D530" s="50">
        <v>2</v>
      </c>
      <c r="E530" s="50">
        <v>1</v>
      </c>
      <c r="F530" s="50">
        <v>1</v>
      </c>
      <c r="G530" s="50">
        <v>1</v>
      </c>
      <c r="H530" s="50">
        <v>2</v>
      </c>
      <c r="I530" s="50">
        <v>1</v>
      </c>
      <c r="J530" s="50">
        <f>PRODUCT(D530:I530)</f>
        <v>4</v>
      </c>
      <c r="K530" s="41" t="str">
        <f>VLOOKUP(B530,'Project Resource Master'!C:N,6,0)</f>
        <v>sqm</v>
      </c>
      <c r="L530" s="50">
        <f>VLOOKUP(B530,'Project Resource Master'!C:N,11,0)</f>
        <v>0.05</v>
      </c>
      <c r="M530" s="50">
        <f>J530*L530</f>
        <v>0.2</v>
      </c>
      <c r="N530" s="50">
        <f>+J530+M530</f>
        <v>4.2</v>
      </c>
      <c r="O530" s="50">
        <f>VLOOKUP(B530,'Project Resource Master'!C:N,12,0)</f>
        <v>50</v>
      </c>
      <c r="P530" s="50">
        <f>+O530*N530</f>
        <v>210</v>
      </c>
      <c r="Q530" s="50">
        <f>+N530*B524</f>
        <v>63</v>
      </c>
      <c r="R530" s="50">
        <f>Q530*O530</f>
        <v>3150</v>
      </c>
    </row>
    <row r="531" spans="1:18" x14ac:dyDescent="0.35">
      <c r="A531" s="26">
        <v>4</v>
      </c>
      <c r="B531" s="8" t="s">
        <v>1534</v>
      </c>
      <c r="C531" s="41" t="str">
        <f>VLOOKUP(B531,'Project Resource Master'!C:N,5,0)</f>
        <v>Beech wood - 2" x 8" - KD</v>
      </c>
      <c r="D531" s="50">
        <v>2</v>
      </c>
      <c r="E531" s="50">
        <v>2</v>
      </c>
      <c r="F531" s="50">
        <v>1</v>
      </c>
      <c r="G531" s="50">
        <f>1/12</f>
        <v>8.3333333333333329E-2</v>
      </c>
      <c r="H531" s="50">
        <f>0.5/12</f>
        <v>4.1666666666666664E-2</v>
      </c>
      <c r="I531" s="50">
        <v>1</v>
      </c>
      <c r="J531" s="50">
        <f>PRODUCT(D531:I531)</f>
        <v>1.3888888888888888E-2</v>
      </c>
      <c r="K531" s="41" t="str">
        <f>VLOOKUP(B531,'Project Resource Master'!C:N,6,0)</f>
        <v>cft</v>
      </c>
      <c r="L531" s="50">
        <f>VLOOKUP(B531,'Project Resource Master'!C:N,11,0)</f>
        <v>0.1</v>
      </c>
      <c r="M531" s="50">
        <f>J531*L531</f>
        <v>1.3888888888888889E-3</v>
      </c>
      <c r="N531" s="50">
        <f>+J531+M531</f>
        <v>1.5277777777777777E-2</v>
      </c>
      <c r="O531" s="50">
        <f>VLOOKUP(B531,'Project Resource Master'!C:N,12,0)</f>
        <v>50</v>
      </c>
      <c r="P531" s="50">
        <f>+O531*N531</f>
        <v>0.76388888888888884</v>
      </c>
      <c r="Q531" s="50">
        <f>+N531*B524</f>
        <v>0.22916666666666666</v>
      </c>
      <c r="R531" s="50">
        <f>Q531*O531</f>
        <v>11.458333333333332</v>
      </c>
    </row>
    <row r="532" spans="1:18" x14ac:dyDescent="0.35">
      <c r="A532" s="26">
        <v>5</v>
      </c>
      <c r="B532" s="8" t="s">
        <v>1534</v>
      </c>
      <c r="C532" s="41" t="str">
        <f>VLOOKUP(B532,'Project Resource Master'!C:N,5,0)</f>
        <v>Beech wood - 2" x 8" - KD</v>
      </c>
      <c r="D532" s="50">
        <v>2</v>
      </c>
      <c r="E532" s="50">
        <v>2</v>
      </c>
      <c r="F532" s="50">
        <v>2</v>
      </c>
      <c r="G532" s="50">
        <f>1/12</f>
        <v>8.3333333333333329E-2</v>
      </c>
      <c r="H532" s="50">
        <f>0.5/12</f>
        <v>4.1666666666666664E-2</v>
      </c>
      <c r="I532" s="50">
        <v>1</v>
      </c>
      <c r="J532" s="50">
        <f>PRODUCT(D532:I532)</f>
        <v>2.7777777777777776E-2</v>
      </c>
      <c r="K532" s="41" t="str">
        <f>VLOOKUP(B532,'Project Resource Master'!C:N,6,0)</f>
        <v>cft</v>
      </c>
      <c r="L532" s="50">
        <f>VLOOKUP(B532,'Project Resource Master'!C:N,11,0)</f>
        <v>0.1</v>
      </c>
      <c r="M532" s="50">
        <f>J532*L532</f>
        <v>2.7777777777777779E-3</v>
      </c>
      <c r="N532" s="50">
        <f>+J532+M532</f>
        <v>3.0555555555555555E-2</v>
      </c>
      <c r="O532" s="50">
        <f>VLOOKUP(B532,'Project Resource Master'!C:N,12,0)</f>
        <v>50</v>
      </c>
      <c r="P532" s="50">
        <f>+O532*N532</f>
        <v>1.5277777777777777</v>
      </c>
      <c r="Q532" s="50">
        <f>+N532*B524</f>
        <v>0.45833333333333331</v>
      </c>
      <c r="R532" s="50">
        <f>Q532*O532</f>
        <v>22.916666666666664</v>
      </c>
    </row>
    <row r="533" spans="1:18" x14ac:dyDescent="0.35">
      <c r="A533" s="26">
        <v>6</v>
      </c>
      <c r="B533" s="8" t="s">
        <v>1536</v>
      </c>
      <c r="C533" s="41" t="str">
        <f>VLOOKUP(B533,'Project Resource Master'!C:N,5,0)</f>
        <v>Meranti wood - 2" x 8" - AD</v>
      </c>
      <c r="D533" s="50">
        <v>8</v>
      </c>
      <c r="E533" s="50">
        <v>2</v>
      </c>
      <c r="F533" s="50">
        <v>1</v>
      </c>
      <c r="G533" s="50">
        <f>2/12</f>
        <v>0.16666666666666666</v>
      </c>
      <c r="H533" s="50">
        <f>2/12</f>
        <v>0.16666666666666666</v>
      </c>
      <c r="I533" s="50">
        <v>1</v>
      </c>
      <c r="J533" s="50">
        <f>PRODUCT(D533:I533)</f>
        <v>0.44444444444444442</v>
      </c>
      <c r="K533" s="41" t="str">
        <f>VLOOKUP(B533,'Project Resource Master'!C:N,6,0)</f>
        <v>cft</v>
      </c>
      <c r="L533" s="50">
        <f>VLOOKUP(B533,'Project Resource Master'!C:N,11,0)</f>
        <v>0.1</v>
      </c>
      <c r="M533" s="50">
        <f>J533*L533</f>
        <v>4.4444444444444446E-2</v>
      </c>
      <c r="N533" s="50">
        <f>+J533+M533</f>
        <v>0.48888888888888887</v>
      </c>
      <c r="O533" s="50">
        <f>VLOOKUP(B533,'Project Resource Master'!C:N,12,0)</f>
        <v>80</v>
      </c>
      <c r="P533" s="50">
        <f>+O533*N533</f>
        <v>39.111111111111107</v>
      </c>
      <c r="Q533" s="50">
        <f>+N533*B524</f>
        <v>7.333333333333333</v>
      </c>
      <c r="R533" s="50">
        <f>Q533*O533</f>
        <v>586.66666666666663</v>
      </c>
    </row>
    <row r="534" spans="1:18" x14ac:dyDescent="0.35">
      <c r="A534" s="26">
        <v>7</v>
      </c>
      <c r="B534" s="8" t="s">
        <v>1536</v>
      </c>
      <c r="C534" s="41" t="str">
        <f>VLOOKUP(B534,'Project Resource Master'!C:N,5,0)</f>
        <v>Meranti wood - 2" x 8" - AD</v>
      </c>
      <c r="D534" s="50">
        <v>4</v>
      </c>
      <c r="E534" s="50">
        <v>2</v>
      </c>
      <c r="F534" s="50">
        <v>2</v>
      </c>
      <c r="G534" s="50">
        <f>2/12</f>
        <v>0.16666666666666666</v>
      </c>
      <c r="H534" s="50">
        <f>2/12</f>
        <v>0.16666666666666666</v>
      </c>
      <c r="I534" s="50">
        <v>1</v>
      </c>
      <c r="J534" s="50">
        <f>PRODUCT(D534:I534)</f>
        <v>0.44444444444444442</v>
      </c>
      <c r="K534" s="41" t="str">
        <f>VLOOKUP(B534,'Project Resource Master'!C:N,6,0)</f>
        <v>cft</v>
      </c>
      <c r="L534" s="50">
        <f>VLOOKUP(B534,'Project Resource Master'!C:N,11,0)</f>
        <v>0.1</v>
      </c>
      <c r="M534" s="50">
        <f>J534*L534</f>
        <v>4.4444444444444446E-2</v>
      </c>
      <c r="N534" s="50">
        <f>+J534+M534</f>
        <v>0.48888888888888887</v>
      </c>
      <c r="O534" s="50">
        <f>VLOOKUP(B534,'Project Resource Master'!C:N,12,0)</f>
        <v>80</v>
      </c>
      <c r="P534" s="50">
        <f>+O534*N534</f>
        <v>39.111111111111107</v>
      </c>
      <c r="Q534" s="50">
        <f>+N534*B524</f>
        <v>7.333333333333333</v>
      </c>
      <c r="R534" s="50">
        <f>Q534*O534</f>
        <v>586.66666666666663</v>
      </c>
    </row>
    <row r="535" spans="1:18" x14ac:dyDescent="0.35">
      <c r="A535" s="26">
        <v>8</v>
      </c>
      <c r="B535" s="8" t="s">
        <v>1497</v>
      </c>
      <c r="C535" s="41" t="str">
        <f>VLOOKUP(B535,'Project Resource Master'!C:N,5,0)</f>
        <v>Helper</v>
      </c>
      <c r="D535" s="50">
        <v>20</v>
      </c>
      <c r="E535" s="50">
        <v>2</v>
      </c>
      <c r="F535" s="50">
        <v>1</v>
      </c>
      <c r="G535" s="50">
        <v>1</v>
      </c>
      <c r="H535" s="50">
        <v>1</v>
      </c>
      <c r="I535" s="50">
        <v>1</v>
      </c>
      <c r="J535" s="50">
        <f>PRODUCT(D535:I535)</f>
        <v>40</v>
      </c>
      <c r="K535" s="41" t="str">
        <f>VLOOKUP(B535,'Project Resource Master'!C:N,6,0)</f>
        <v>hr</v>
      </c>
      <c r="L535" s="50">
        <f>VLOOKUP(B535,'Project Resource Master'!C:N,11,0)</f>
        <v>0.2</v>
      </c>
      <c r="M535" s="50">
        <f>J535*L535</f>
        <v>8</v>
      </c>
      <c r="N535" s="50">
        <f>+J535+M535</f>
        <v>48</v>
      </c>
      <c r="O535" s="50">
        <f>VLOOKUP(B535,'Project Resource Master'!C:N,12,0)</f>
        <v>100</v>
      </c>
      <c r="P535" s="50">
        <f>+O535*N535</f>
        <v>4800</v>
      </c>
      <c r="Q535" s="50">
        <f>+N535*B524</f>
        <v>720</v>
      </c>
      <c r="R535" s="50">
        <f>Q535*O535</f>
        <v>72000</v>
      </c>
    </row>
    <row r="536" spans="1:18" x14ac:dyDescent="0.35">
      <c r="A536" s="26">
        <v>9</v>
      </c>
      <c r="B536" s="8" t="s">
        <v>1496</v>
      </c>
      <c r="C536" s="41" t="str">
        <f>VLOOKUP(B536,'Project Resource Master'!C:N,5,0)</f>
        <v>Carpenter</v>
      </c>
      <c r="D536" s="50">
        <v>20</v>
      </c>
      <c r="E536" s="50">
        <v>2</v>
      </c>
      <c r="F536" s="50">
        <v>1</v>
      </c>
      <c r="G536" s="50">
        <v>1</v>
      </c>
      <c r="H536" s="50">
        <v>1</v>
      </c>
      <c r="I536" s="50">
        <v>1</v>
      </c>
      <c r="J536" s="50">
        <f>PRODUCT(D536:I536)</f>
        <v>40</v>
      </c>
      <c r="K536" s="41" t="str">
        <f>VLOOKUP(B536,'Project Resource Master'!C:N,6,0)</f>
        <v>hr</v>
      </c>
      <c r="L536" s="50">
        <f>VLOOKUP(B536,'Project Resource Master'!C:N,11,0)</f>
        <v>0.2</v>
      </c>
      <c r="M536" s="50">
        <f>J536*L536</f>
        <v>8</v>
      </c>
      <c r="N536" s="50">
        <f>+J536+M536</f>
        <v>48</v>
      </c>
      <c r="O536" s="50">
        <f>VLOOKUP(B536,'Project Resource Master'!C:N,12,0)</f>
        <v>100</v>
      </c>
      <c r="P536" s="50">
        <f>+O536*N536</f>
        <v>4800</v>
      </c>
      <c r="Q536" s="50">
        <f>+N536*B524</f>
        <v>720</v>
      </c>
      <c r="R536" s="50">
        <f>Q536*O536</f>
        <v>72000</v>
      </c>
    </row>
    <row r="537" spans="1:18" x14ac:dyDescent="0.35">
      <c r="A537" s="27"/>
      <c r="B537" s="41"/>
      <c r="C537" s="41"/>
      <c r="D537" s="50"/>
      <c r="E537" s="50"/>
      <c r="F537" s="50"/>
      <c r="G537" s="50"/>
      <c r="H537" s="50"/>
      <c r="I537" s="50"/>
      <c r="J537" s="50"/>
      <c r="K537" s="41"/>
      <c r="L537" s="50"/>
      <c r="M537" s="50"/>
      <c r="N537" s="50"/>
      <c r="O537" s="50"/>
      <c r="P537" s="50"/>
      <c r="Q537" s="50"/>
      <c r="R537" s="50"/>
    </row>
    <row r="538" spans="1:18" s="14" customFormat="1" x14ac:dyDescent="0.35">
      <c r="A538" s="29" t="str">
        <f>B522</f>
        <v>5i</v>
      </c>
      <c r="B538" s="7"/>
      <c r="C538" s="7" t="s">
        <v>1485</v>
      </c>
      <c r="D538" s="51"/>
      <c r="E538" s="51"/>
      <c r="F538" s="51"/>
      <c r="G538" s="51"/>
      <c r="H538" s="51"/>
      <c r="I538" s="51"/>
      <c r="J538" s="51"/>
      <c r="K538" s="7"/>
      <c r="L538" s="51"/>
      <c r="M538" s="51"/>
      <c r="N538" s="51"/>
      <c r="O538" s="51"/>
      <c r="P538" s="51">
        <f>SUM(P527:P537)</f>
        <v>10183.430555555555</v>
      </c>
      <c r="Q538" s="51"/>
      <c r="R538" s="51">
        <f>SUM(R527:R537)</f>
        <v>152751.45833333331</v>
      </c>
    </row>
    <row r="541" spans="1:18" x14ac:dyDescent="0.35">
      <c r="A541" s="29" t="s">
        <v>1348</v>
      </c>
      <c r="B541" s="49" t="s">
        <v>1410</v>
      </c>
      <c r="C541" s="41"/>
      <c r="D541" s="50"/>
      <c r="E541" s="50"/>
      <c r="F541" s="50"/>
      <c r="G541" s="50"/>
      <c r="H541" s="50"/>
      <c r="I541" s="50"/>
      <c r="J541" s="50"/>
      <c r="K541" s="41"/>
      <c r="L541" s="50"/>
      <c r="M541" s="50"/>
      <c r="N541" s="50"/>
      <c r="O541" s="50"/>
      <c r="P541" s="50"/>
      <c r="Q541" s="50"/>
      <c r="R541" s="50"/>
    </row>
    <row r="542" spans="1:18" ht="29" x14ac:dyDescent="0.35">
      <c r="A542" s="29" t="s">
        <v>1450</v>
      </c>
      <c r="B542" s="49" t="str">
        <f>VLOOKUP(B541,'Working BOQ'!A:K,9,0)</f>
        <v>Wardrobe B</v>
      </c>
      <c r="C542" s="41"/>
      <c r="D542" s="50"/>
      <c r="E542" s="50"/>
      <c r="F542" s="50"/>
      <c r="G542" s="50"/>
      <c r="H542" s="50"/>
      <c r="I542" s="50"/>
      <c r="J542" s="50"/>
      <c r="K542" s="41"/>
      <c r="L542" s="50"/>
      <c r="M542" s="50"/>
      <c r="N542" s="50"/>
      <c r="O542" s="50"/>
      <c r="P542" s="50"/>
      <c r="Q542" s="50"/>
      <c r="R542" s="50"/>
    </row>
    <row r="543" spans="1:18" x14ac:dyDescent="0.35">
      <c r="A543" s="29" t="s">
        <v>1451</v>
      </c>
      <c r="B543" s="49">
        <f>VLOOKUP(B541,'Working BOQ'!A:N,14,0)</f>
        <v>15</v>
      </c>
      <c r="C543" s="41"/>
      <c r="D543" s="50"/>
      <c r="E543" s="50"/>
      <c r="F543" s="50"/>
      <c r="G543" s="50"/>
      <c r="H543" s="50"/>
      <c r="I543" s="50"/>
      <c r="J543" s="50"/>
      <c r="K543" s="41"/>
      <c r="L543" s="50"/>
      <c r="M543" s="50"/>
      <c r="N543" s="50"/>
      <c r="O543" s="50"/>
      <c r="P543" s="50"/>
      <c r="Q543" s="50"/>
      <c r="R543" s="50"/>
    </row>
    <row r="544" spans="1:18" x14ac:dyDescent="0.35">
      <c r="A544" s="29" t="s">
        <v>1</v>
      </c>
      <c r="B544" s="49" t="str">
        <f>VLOOKUP(B541,'Working BOQ'!A:K,11,0)</f>
        <v>Nos</v>
      </c>
      <c r="C544" s="41"/>
      <c r="D544" s="50"/>
      <c r="E544" s="50"/>
      <c r="F544" s="50"/>
      <c r="G544" s="50"/>
      <c r="H544" s="50"/>
      <c r="I544" s="50"/>
      <c r="J544" s="50"/>
      <c r="K544" s="41"/>
      <c r="L544" s="50"/>
      <c r="M544" s="50"/>
      <c r="N544" s="50"/>
      <c r="O544" s="50"/>
      <c r="P544" s="50"/>
      <c r="Q544" s="50"/>
      <c r="R544" s="50"/>
    </row>
    <row r="545" spans="1:18" s="6" customFormat="1" x14ac:dyDescent="0.35">
      <c r="A545" s="24" t="s">
        <v>110</v>
      </c>
      <c r="B545" s="5" t="s">
        <v>112</v>
      </c>
      <c r="C545" s="5" t="s">
        <v>111</v>
      </c>
      <c r="D545" s="16" t="s">
        <v>1200</v>
      </c>
      <c r="E545" s="16" t="s">
        <v>1200</v>
      </c>
      <c r="F545" s="16" t="s">
        <v>1452</v>
      </c>
      <c r="G545" s="16" t="s">
        <v>1453</v>
      </c>
      <c r="H545" s="16" t="s">
        <v>1454</v>
      </c>
      <c r="I545" s="16" t="s">
        <v>1455</v>
      </c>
      <c r="J545" s="16" t="s">
        <v>3</v>
      </c>
      <c r="K545" s="5" t="s">
        <v>1</v>
      </c>
      <c r="L545" s="16" t="s">
        <v>1456</v>
      </c>
      <c r="M545" s="16" t="s">
        <v>1457</v>
      </c>
      <c r="N545" s="16" t="s">
        <v>1458</v>
      </c>
      <c r="O545" s="16" t="s">
        <v>1459</v>
      </c>
      <c r="P545" s="16" t="s">
        <v>1122</v>
      </c>
      <c r="Q545" s="16" t="s">
        <v>1486</v>
      </c>
      <c r="R545" s="16" t="s">
        <v>1498</v>
      </c>
    </row>
    <row r="546" spans="1:18" x14ac:dyDescent="0.35">
      <c r="A546" s="27"/>
      <c r="B546" s="41"/>
      <c r="C546" s="41"/>
      <c r="D546" s="50"/>
      <c r="E546" s="50"/>
      <c r="F546" s="50"/>
      <c r="G546" s="50"/>
      <c r="H546" s="50"/>
      <c r="I546" s="50"/>
      <c r="J546" s="50"/>
      <c r="K546" s="41"/>
      <c r="L546" s="50"/>
      <c r="M546" s="50"/>
      <c r="N546" s="50"/>
      <c r="O546" s="50"/>
      <c r="P546" s="50"/>
      <c r="Q546" s="50"/>
      <c r="R546" s="50"/>
    </row>
    <row r="547" spans="1:18" x14ac:dyDescent="0.35">
      <c r="A547" s="26">
        <v>1</v>
      </c>
      <c r="B547" s="8" t="s">
        <v>1535</v>
      </c>
      <c r="C547" s="41" t="str">
        <f>VLOOKUP(B547,'Project Resource Master'!C:N,5,0)</f>
        <v>18mm MDF - Normal</v>
      </c>
      <c r="D547" s="50">
        <v>2.5</v>
      </c>
      <c r="E547" s="50">
        <v>1</v>
      </c>
      <c r="F547" s="50">
        <f>1/1.2</f>
        <v>0.83333333333333337</v>
      </c>
      <c r="G547" s="50">
        <v>1</v>
      </c>
      <c r="H547" s="50">
        <f>2/2.4</f>
        <v>0.83333333333333337</v>
      </c>
      <c r="I547" s="50">
        <v>1</v>
      </c>
      <c r="J547" s="50">
        <f>PRODUCT(D547:I547)</f>
        <v>1.7361111111111114</v>
      </c>
      <c r="K547" s="41" t="str">
        <f>VLOOKUP(B547,'Project Resource Master'!C:N,6,0)</f>
        <v>board</v>
      </c>
      <c r="L547" s="50">
        <f>VLOOKUP(B547,'Project Resource Master'!C:N,11,0)</f>
        <v>0.05</v>
      </c>
      <c r="M547" s="50">
        <f>J547*L547</f>
        <v>8.680555555555558E-2</v>
      </c>
      <c r="N547" s="50">
        <f>+J547+M547</f>
        <v>1.822916666666667</v>
      </c>
      <c r="O547" s="50">
        <f>VLOOKUP(B547,'Project Resource Master'!C:N,12,0)</f>
        <v>50</v>
      </c>
      <c r="P547" s="50">
        <f>+O547*N547</f>
        <v>91.145833333333343</v>
      </c>
      <c r="Q547" s="50">
        <f>+N547*B543</f>
        <v>27.343750000000004</v>
      </c>
      <c r="R547" s="50">
        <f>Q547*O547</f>
        <v>1367.1875000000002</v>
      </c>
    </row>
    <row r="548" spans="1:18" x14ac:dyDescent="0.35">
      <c r="A548" s="26">
        <v>2</v>
      </c>
      <c r="B548" s="8" t="s">
        <v>1527</v>
      </c>
      <c r="C548" s="41" t="str">
        <f>VLOOKUP(B548,'Project Resource Master'!C:N,5,0)</f>
        <v>Ash veneer - Q-Cut</v>
      </c>
      <c r="D548" s="50">
        <v>2.5</v>
      </c>
      <c r="E548" s="50">
        <v>1</v>
      </c>
      <c r="F548" s="50">
        <v>1</v>
      </c>
      <c r="G548" s="50">
        <v>1</v>
      </c>
      <c r="H548" s="50">
        <v>2</v>
      </c>
      <c r="I548" s="50">
        <v>1</v>
      </c>
      <c r="J548" s="50">
        <f>PRODUCT(D548:I548)</f>
        <v>5</v>
      </c>
      <c r="K548" s="41" t="str">
        <f>VLOOKUP(B548,'Project Resource Master'!C:N,6,0)</f>
        <v>sqm</v>
      </c>
      <c r="L548" s="50">
        <f>VLOOKUP(B548,'Project Resource Master'!C:N,11,0)</f>
        <v>0.05</v>
      </c>
      <c r="M548" s="50">
        <f>J548*L548</f>
        <v>0.25</v>
      </c>
      <c r="N548" s="50">
        <f>+J548+M548</f>
        <v>5.25</v>
      </c>
      <c r="O548" s="50">
        <f>VLOOKUP(B548,'Project Resource Master'!C:N,12,0)</f>
        <v>80</v>
      </c>
      <c r="P548" s="50">
        <f>+O548*N548</f>
        <v>420</v>
      </c>
      <c r="Q548" s="50">
        <f>+N548*B543</f>
        <v>78.75</v>
      </c>
      <c r="R548" s="50">
        <f>Q548*O548</f>
        <v>6300</v>
      </c>
    </row>
    <row r="549" spans="1:18" x14ac:dyDescent="0.35">
      <c r="A549" s="26">
        <v>3</v>
      </c>
      <c r="B549" s="8" t="s">
        <v>1528</v>
      </c>
      <c r="C549" s="41" t="str">
        <f>VLOOKUP(B549,'Project Resource Master'!C:N,5,0)</f>
        <v>Balancer Veneer</v>
      </c>
      <c r="D549" s="50">
        <v>2.5</v>
      </c>
      <c r="E549" s="50">
        <v>1</v>
      </c>
      <c r="F549" s="50">
        <v>1</v>
      </c>
      <c r="G549" s="50">
        <v>1</v>
      </c>
      <c r="H549" s="50">
        <v>2</v>
      </c>
      <c r="I549" s="50">
        <v>1</v>
      </c>
      <c r="J549" s="50">
        <f>PRODUCT(D549:I549)</f>
        <v>5</v>
      </c>
      <c r="K549" s="41" t="str">
        <f>VLOOKUP(B549,'Project Resource Master'!C:N,6,0)</f>
        <v>sqm</v>
      </c>
      <c r="L549" s="50">
        <f>VLOOKUP(B549,'Project Resource Master'!C:N,11,0)</f>
        <v>0.05</v>
      </c>
      <c r="M549" s="50">
        <f>J549*L549</f>
        <v>0.25</v>
      </c>
      <c r="N549" s="50">
        <f>+J549+M549</f>
        <v>5.25</v>
      </c>
      <c r="O549" s="50">
        <f>VLOOKUP(B549,'Project Resource Master'!C:N,12,0)</f>
        <v>50</v>
      </c>
      <c r="P549" s="50">
        <f>+O549*N549</f>
        <v>262.5</v>
      </c>
      <c r="Q549" s="50">
        <f>+N549*B543</f>
        <v>78.75</v>
      </c>
      <c r="R549" s="50">
        <f>Q549*O549</f>
        <v>3937.5</v>
      </c>
    </row>
    <row r="550" spans="1:18" x14ac:dyDescent="0.35">
      <c r="A550" s="26">
        <v>4</v>
      </c>
      <c r="B550" s="8" t="s">
        <v>1526</v>
      </c>
      <c r="C550" s="41" t="str">
        <f>VLOOKUP(B550,'Project Resource Master'!C:N,5,0)</f>
        <v>Ash wood - 2" x 8" - AD</v>
      </c>
      <c r="D550" s="50">
        <v>2</v>
      </c>
      <c r="E550" s="50">
        <v>2.5</v>
      </c>
      <c r="F550" s="50">
        <v>1</v>
      </c>
      <c r="G550" s="50">
        <f>1/12</f>
        <v>8.3333333333333329E-2</v>
      </c>
      <c r="H550" s="50">
        <f>0.5/12</f>
        <v>4.1666666666666664E-2</v>
      </c>
      <c r="I550" s="50">
        <v>1</v>
      </c>
      <c r="J550" s="50">
        <f>PRODUCT(D550:I550)</f>
        <v>1.7361111111111108E-2</v>
      </c>
      <c r="K550" s="41" t="str">
        <f>VLOOKUP(B550,'Project Resource Master'!C:N,6,0)</f>
        <v>cft</v>
      </c>
      <c r="L550" s="50">
        <f>VLOOKUP(B550,'Project Resource Master'!C:N,11,0)</f>
        <v>0.1</v>
      </c>
      <c r="M550" s="50">
        <f>J550*L550</f>
        <v>1.736111111111111E-3</v>
      </c>
      <c r="N550" s="50">
        <f>+J550+M550</f>
        <v>1.909722222222222E-2</v>
      </c>
      <c r="O550" s="50">
        <f>VLOOKUP(B550,'Project Resource Master'!C:N,12,0)</f>
        <v>50</v>
      </c>
      <c r="P550" s="50">
        <f>+O550*N550</f>
        <v>0.95486111111111105</v>
      </c>
      <c r="Q550" s="50">
        <f>+N550*B543</f>
        <v>0.28645833333333331</v>
      </c>
      <c r="R550" s="50">
        <f>Q550*O550</f>
        <v>14.322916666666666</v>
      </c>
    </row>
    <row r="551" spans="1:18" x14ac:dyDescent="0.35">
      <c r="A551" s="26">
        <v>5</v>
      </c>
      <c r="B551" s="8" t="s">
        <v>1526</v>
      </c>
      <c r="C551" s="41" t="str">
        <f>VLOOKUP(B551,'Project Resource Master'!C:N,5,0)</f>
        <v>Ash wood - 2" x 8" - AD</v>
      </c>
      <c r="D551" s="50">
        <v>2</v>
      </c>
      <c r="E551" s="50">
        <v>2.5</v>
      </c>
      <c r="F551" s="50">
        <v>2</v>
      </c>
      <c r="G551" s="50">
        <f>1/12</f>
        <v>8.3333333333333329E-2</v>
      </c>
      <c r="H551" s="50">
        <f>0.5/12</f>
        <v>4.1666666666666664E-2</v>
      </c>
      <c r="I551" s="50">
        <v>1</v>
      </c>
      <c r="J551" s="50">
        <f>PRODUCT(D551:I551)</f>
        <v>3.4722222222222217E-2</v>
      </c>
      <c r="K551" s="41" t="str">
        <f>VLOOKUP(B551,'Project Resource Master'!C:N,6,0)</f>
        <v>cft</v>
      </c>
      <c r="L551" s="50">
        <f>VLOOKUP(B551,'Project Resource Master'!C:N,11,0)</f>
        <v>0.1</v>
      </c>
      <c r="M551" s="50">
        <f>J551*L551</f>
        <v>3.472222222222222E-3</v>
      </c>
      <c r="N551" s="50">
        <f>+J551+M551</f>
        <v>3.8194444444444441E-2</v>
      </c>
      <c r="O551" s="50">
        <f>VLOOKUP(B551,'Project Resource Master'!C:N,12,0)</f>
        <v>50</v>
      </c>
      <c r="P551" s="50">
        <f>+O551*N551</f>
        <v>1.9097222222222221</v>
      </c>
      <c r="Q551" s="50">
        <f>+N551*B543</f>
        <v>0.57291666666666663</v>
      </c>
      <c r="R551" s="50">
        <f>Q551*O551</f>
        <v>28.645833333333332</v>
      </c>
    </row>
    <row r="552" spans="1:18" x14ac:dyDescent="0.35">
      <c r="A552" s="26">
        <v>6</v>
      </c>
      <c r="B552" s="8" t="s">
        <v>1536</v>
      </c>
      <c r="C552" s="41" t="str">
        <f>VLOOKUP(B552,'Project Resource Master'!C:N,5,0)</f>
        <v>Meranti wood - 2" x 8" - AD</v>
      </c>
      <c r="D552" s="50">
        <v>8</v>
      </c>
      <c r="E552" s="50">
        <v>2.5</v>
      </c>
      <c r="F552" s="50">
        <v>1</v>
      </c>
      <c r="G552" s="50">
        <f>2/12</f>
        <v>0.16666666666666666</v>
      </c>
      <c r="H552" s="50">
        <f>2/12</f>
        <v>0.16666666666666666</v>
      </c>
      <c r="I552" s="50">
        <v>1</v>
      </c>
      <c r="J552" s="50">
        <f>PRODUCT(D552:I552)</f>
        <v>0.55555555555555547</v>
      </c>
      <c r="K552" s="41" t="str">
        <f>VLOOKUP(B552,'Project Resource Master'!C:N,6,0)</f>
        <v>cft</v>
      </c>
      <c r="L552" s="50">
        <f>VLOOKUP(B552,'Project Resource Master'!C:N,11,0)</f>
        <v>0.1</v>
      </c>
      <c r="M552" s="50">
        <f>J552*L552</f>
        <v>5.5555555555555552E-2</v>
      </c>
      <c r="N552" s="50">
        <f>+J552+M552</f>
        <v>0.61111111111111105</v>
      </c>
      <c r="O552" s="50">
        <f>VLOOKUP(B552,'Project Resource Master'!C:N,12,0)</f>
        <v>80</v>
      </c>
      <c r="P552" s="50">
        <f>+O552*N552</f>
        <v>48.888888888888886</v>
      </c>
      <c r="Q552" s="50">
        <f>+N552*B543</f>
        <v>9.1666666666666661</v>
      </c>
      <c r="R552" s="50">
        <f>Q552*O552</f>
        <v>733.33333333333326</v>
      </c>
    </row>
    <row r="553" spans="1:18" x14ac:dyDescent="0.35">
      <c r="A553" s="26">
        <v>7</v>
      </c>
      <c r="B553" s="8" t="s">
        <v>1536</v>
      </c>
      <c r="C553" s="41" t="str">
        <f>VLOOKUP(B553,'Project Resource Master'!C:N,5,0)</f>
        <v>Meranti wood - 2" x 8" - AD</v>
      </c>
      <c r="D553" s="50">
        <v>4</v>
      </c>
      <c r="E553" s="50">
        <v>2.5</v>
      </c>
      <c r="F553" s="50">
        <v>2</v>
      </c>
      <c r="G553" s="50">
        <f>2/12</f>
        <v>0.16666666666666666</v>
      </c>
      <c r="H553" s="50">
        <f>2/12</f>
        <v>0.16666666666666666</v>
      </c>
      <c r="I553" s="50">
        <v>1</v>
      </c>
      <c r="J553" s="50">
        <f>PRODUCT(D553:I553)</f>
        <v>0.55555555555555547</v>
      </c>
      <c r="K553" s="41" t="str">
        <f>VLOOKUP(B553,'Project Resource Master'!C:N,6,0)</f>
        <v>cft</v>
      </c>
      <c r="L553" s="50">
        <f>VLOOKUP(B553,'Project Resource Master'!C:N,11,0)</f>
        <v>0.1</v>
      </c>
      <c r="M553" s="50">
        <f>J553*L553</f>
        <v>5.5555555555555552E-2</v>
      </c>
      <c r="N553" s="50">
        <f>+J553+M553</f>
        <v>0.61111111111111105</v>
      </c>
      <c r="O553" s="50">
        <f>VLOOKUP(B553,'Project Resource Master'!C:N,12,0)</f>
        <v>80</v>
      </c>
      <c r="P553" s="50">
        <f>+O553*N553</f>
        <v>48.888888888888886</v>
      </c>
      <c r="Q553" s="50">
        <f>+N553*B543</f>
        <v>9.1666666666666661</v>
      </c>
      <c r="R553" s="50">
        <f>Q553*O553</f>
        <v>733.33333333333326</v>
      </c>
    </row>
    <row r="554" spans="1:18" x14ac:dyDescent="0.35">
      <c r="A554" s="26">
        <v>8</v>
      </c>
      <c r="B554" s="8" t="s">
        <v>1497</v>
      </c>
      <c r="C554" s="41" t="str">
        <f>VLOOKUP(B554,'Project Resource Master'!C:N,5,0)</f>
        <v>Helper</v>
      </c>
      <c r="D554" s="50">
        <v>25</v>
      </c>
      <c r="E554" s="50">
        <v>2</v>
      </c>
      <c r="F554" s="50">
        <v>1</v>
      </c>
      <c r="G554" s="50">
        <v>1</v>
      </c>
      <c r="H554" s="50">
        <v>1</v>
      </c>
      <c r="I554" s="50">
        <v>1</v>
      </c>
      <c r="J554" s="50">
        <f>PRODUCT(D554:I554)</f>
        <v>50</v>
      </c>
      <c r="K554" s="41" t="str">
        <f>VLOOKUP(B554,'Project Resource Master'!C:N,6,0)</f>
        <v>hr</v>
      </c>
      <c r="L554" s="50">
        <f>VLOOKUP(B554,'Project Resource Master'!C:N,11,0)</f>
        <v>0.2</v>
      </c>
      <c r="M554" s="50">
        <f>J554*L554</f>
        <v>10</v>
      </c>
      <c r="N554" s="50">
        <f>+J554+M554</f>
        <v>60</v>
      </c>
      <c r="O554" s="50">
        <f>VLOOKUP(B554,'Project Resource Master'!C:N,12,0)</f>
        <v>100</v>
      </c>
      <c r="P554" s="50">
        <f>+O554*N554</f>
        <v>6000</v>
      </c>
      <c r="Q554" s="50">
        <f>+N554*B543</f>
        <v>900</v>
      </c>
      <c r="R554" s="50">
        <f>Q554*O554</f>
        <v>90000</v>
      </c>
    </row>
    <row r="555" spans="1:18" x14ac:dyDescent="0.35">
      <c r="A555" s="26">
        <v>9</v>
      </c>
      <c r="B555" s="8" t="s">
        <v>1496</v>
      </c>
      <c r="C555" s="41" t="str">
        <f>VLOOKUP(B555,'Project Resource Master'!C:N,5,0)</f>
        <v>Carpenter</v>
      </c>
      <c r="D555" s="50">
        <v>25</v>
      </c>
      <c r="E555" s="50">
        <v>2</v>
      </c>
      <c r="F555" s="50">
        <v>1</v>
      </c>
      <c r="G555" s="50">
        <v>1</v>
      </c>
      <c r="H555" s="50">
        <v>1</v>
      </c>
      <c r="I555" s="50">
        <v>1</v>
      </c>
      <c r="J555" s="50">
        <f>PRODUCT(D555:I555)</f>
        <v>50</v>
      </c>
      <c r="K555" s="41" t="str">
        <f>VLOOKUP(B555,'Project Resource Master'!C:N,6,0)</f>
        <v>hr</v>
      </c>
      <c r="L555" s="50">
        <f>VLOOKUP(B555,'Project Resource Master'!C:N,11,0)</f>
        <v>0.2</v>
      </c>
      <c r="M555" s="50">
        <f>J555*L555</f>
        <v>10</v>
      </c>
      <c r="N555" s="50">
        <f>+J555+M555</f>
        <v>60</v>
      </c>
      <c r="O555" s="50">
        <f>VLOOKUP(B555,'Project Resource Master'!C:N,12,0)</f>
        <v>100</v>
      </c>
      <c r="P555" s="50">
        <f>+O555*N555</f>
        <v>6000</v>
      </c>
      <c r="Q555" s="50">
        <f>+N555*B543</f>
        <v>900</v>
      </c>
      <c r="R555" s="50">
        <f>Q555*O555</f>
        <v>90000</v>
      </c>
    </row>
    <row r="556" spans="1:18" x14ac:dyDescent="0.35">
      <c r="A556" s="27"/>
      <c r="B556" s="41"/>
      <c r="C556" s="41"/>
      <c r="D556" s="50"/>
      <c r="E556" s="50"/>
      <c r="F556" s="50"/>
      <c r="G556" s="50"/>
      <c r="H556" s="50"/>
      <c r="I556" s="50"/>
      <c r="J556" s="50"/>
      <c r="K556" s="41"/>
      <c r="L556" s="50"/>
      <c r="M556" s="50"/>
      <c r="N556" s="50"/>
      <c r="O556" s="50"/>
      <c r="P556" s="50"/>
      <c r="Q556" s="50"/>
      <c r="R556" s="50"/>
    </row>
    <row r="557" spans="1:18" s="14" customFormat="1" x14ac:dyDescent="0.35">
      <c r="A557" s="29" t="str">
        <f>B541</f>
        <v>5j</v>
      </c>
      <c r="B557" s="7"/>
      <c r="C557" s="7" t="s">
        <v>1485</v>
      </c>
      <c r="D557" s="51"/>
      <c r="E557" s="51"/>
      <c r="F557" s="51"/>
      <c r="G557" s="51"/>
      <c r="H557" s="51"/>
      <c r="I557" s="51"/>
      <c r="J557" s="51"/>
      <c r="K557" s="7"/>
      <c r="L557" s="51"/>
      <c r="M557" s="51"/>
      <c r="N557" s="51"/>
      <c r="O557" s="51"/>
      <c r="P557" s="51">
        <f>SUM(P546:P556)</f>
        <v>12874.288194444445</v>
      </c>
      <c r="Q557" s="51"/>
      <c r="R557" s="51">
        <f>SUM(R546:R556)</f>
        <v>193114.32291666669</v>
      </c>
    </row>
    <row r="560" spans="1:18" x14ac:dyDescent="0.35">
      <c r="A560" s="29" t="s">
        <v>1348</v>
      </c>
      <c r="B560" s="49" t="s">
        <v>1411</v>
      </c>
      <c r="C560" s="41"/>
      <c r="D560" s="50"/>
      <c r="E560" s="50"/>
      <c r="F560" s="50"/>
      <c r="G560" s="50"/>
      <c r="H560" s="50"/>
      <c r="I560" s="50"/>
      <c r="J560" s="50"/>
      <c r="K560" s="41"/>
      <c r="L560" s="50"/>
      <c r="M560" s="50"/>
      <c r="N560" s="50"/>
      <c r="O560" s="50"/>
      <c r="P560" s="50"/>
      <c r="Q560" s="50"/>
      <c r="R560" s="50"/>
    </row>
    <row r="561" spans="1:18" ht="29" x14ac:dyDescent="0.35">
      <c r="A561" s="29" t="s">
        <v>1450</v>
      </c>
      <c r="B561" s="49" t="str">
        <f>VLOOKUP(B560,'Working BOQ'!A:K,9,0)</f>
        <v>Reception Desk</v>
      </c>
      <c r="C561" s="41"/>
      <c r="D561" s="50"/>
      <c r="E561" s="50"/>
      <c r="F561" s="50"/>
      <c r="G561" s="50"/>
      <c r="H561" s="50"/>
      <c r="I561" s="50"/>
      <c r="J561" s="50"/>
      <c r="K561" s="41"/>
      <c r="L561" s="50"/>
      <c r="M561" s="50"/>
      <c r="N561" s="50"/>
      <c r="O561" s="50"/>
      <c r="P561" s="50"/>
      <c r="Q561" s="50"/>
      <c r="R561" s="50"/>
    </row>
    <row r="562" spans="1:18" x14ac:dyDescent="0.35">
      <c r="A562" s="29" t="s">
        <v>1451</v>
      </c>
      <c r="B562" s="49">
        <f>VLOOKUP(B560,'Working BOQ'!A:N,14,0)</f>
        <v>100</v>
      </c>
      <c r="C562" s="41"/>
      <c r="D562" s="50"/>
      <c r="E562" s="50"/>
      <c r="F562" s="50"/>
      <c r="G562" s="50"/>
      <c r="H562" s="50"/>
      <c r="I562" s="50"/>
      <c r="J562" s="50"/>
      <c r="K562" s="41"/>
      <c r="L562" s="50"/>
      <c r="M562" s="50"/>
      <c r="N562" s="50"/>
      <c r="O562" s="50"/>
      <c r="P562" s="50"/>
      <c r="Q562" s="50"/>
      <c r="R562" s="50"/>
    </row>
    <row r="563" spans="1:18" x14ac:dyDescent="0.35">
      <c r="A563" s="29" t="s">
        <v>1</v>
      </c>
      <c r="B563" s="49" t="str">
        <f>VLOOKUP(B560,'Working BOQ'!A:K,11,0)</f>
        <v>Nos</v>
      </c>
      <c r="C563" s="41"/>
      <c r="D563" s="50"/>
      <c r="E563" s="50"/>
      <c r="F563" s="50"/>
      <c r="G563" s="50"/>
      <c r="H563" s="50"/>
      <c r="I563" s="50"/>
      <c r="J563" s="50"/>
      <c r="K563" s="41"/>
      <c r="L563" s="50"/>
      <c r="M563" s="50"/>
      <c r="N563" s="50"/>
      <c r="O563" s="50"/>
      <c r="P563" s="50"/>
      <c r="Q563" s="50"/>
      <c r="R563" s="50"/>
    </row>
    <row r="564" spans="1:18" s="6" customFormat="1" x14ac:dyDescent="0.35">
      <c r="A564" s="24" t="s">
        <v>110</v>
      </c>
      <c r="B564" s="5" t="s">
        <v>112</v>
      </c>
      <c r="C564" s="5" t="s">
        <v>111</v>
      </c>
      <c r="D564" s="16" t="s">
        <v>1200</v>
      </c>
      <c r="E564" s="16" t="s">
        <v>1200</v>
      </c>
      <c r="F564" s="16" t="s">
        <v>1452</v>
      </c>
      <c r="G564" s="16" t="s">
        <v>1453</v>
      </c>
      <c r="H564" s="16" t="s">
        <v>1454</v>
      </c>
      <c r="I564" s="16" t="s">
        <v>1455</v>
      </c>
      <c r="J564" s="16" t="s">
        <v>3</v>
      </c>
      <c r="K564" s="5" t="s">
        <v>1</v>
      </c>
      <c r="L564" s="16" t="s">
        <v>1456</v>
      </c>
      <c r="M564" s="16" t="s">
        <v>1457</v>
      </c>
      <c r="N564" s="16" t="s">
        <v>1458</v>
      </c>
      <c r="O564" s="16" t="s">
        <v>1459</v>
      </c>
      <c r="P564" s="16" t="s">
        <v>1122</v>
      </c>
      <c r="Q564" s="16" t="s">
        <v>1486</v>
      </c>
      <c r="R564" s="16" t="s">
        <v>1498</v>
      </c>
    </row>
    <row r="565" spans="1:18" x14ac:dyDescent="0.35">
      <c r="A565" s="27"/>
      <c r="B565" s="41"/>
      <c r="C565" s="41"/>
      <c r="D565" s="50"/>
      <c r="E565" s="50"/>
      <c r="F565" s="50"/>
      <c r="G565" s="50"/>
      <c r="H565" s="50"/>
      <c r="I565" s="50"/>
      <c r="J565" s="50"/>
      <c r="K565" s="41"/>
      <c r="L565" s="50"/>
      <c r="M565" s="50"/>
      <c r="N565" s="50"/>
      <c r="O565" s="50"/>
      <c r="P565" s="50"/>
      <c r="Q565" s="50"/>
      <c r="R565" s="50"/>
    </row>
    <row r="566" spans="1:18" x14ac:dyDescent="0.35">
      <c r="A566" s="26">
        <v>1</v>
      </c>
      <c r="B566" s="8" t="s">
        <v>1537</v>
      </c>
      <c r="C566" s="41" t="str">
        <f>VLOOKUP(B566,'Project Resource Master'!C:N,5,0)</f>
        <v>18mm MDF - MR Grade</v>
      </c>
      <c r="D566" s="50">
        <v>5</v>
      </c>
      <c r="E566" s="50">
        <v>1</v>
      </c>
      <c r="F566" s="50">
        <f>1/1.2</f>
        <v>0.83333333333333337</v>
      </c>
      <c r="G566" s="50">
        <v>1</v>
      </c>
      <c r="H566" s="50">
        <f>2/2.4</f>
        <v>0.83333333333333337</v>
      </c>
      <c r="I566" s="50">
        <v>1</v>
      </c>
      <c r="J566" s="50">
        <f>PRODUCT(D566:I566)</f>
        <v>3.4722222222222228</v>
      </c>
      <c r="K566" s="41" t="str">
        <f>VLOOKUP(B566,'Project Resource Master'!C:N,6,0)</f>
        <v>board</v>
      </c>
      <c r="L566" s="50">
        <f>VLOOKUP(B566,'Project Resource Master'!C:N,11,0)</f>
        <v>0.1</v>
      </c>
      <c r="M566" s="50">
        <f>J566*L566</f>
        <v>0.34722222222222232</v>
      </c>
      <c r="N566" s="50">
        <f>+J566+M566</f>
        <v>3.8194444444444451</v>
      </c>
      <c r="O566" s="50">
        <f>VLOOKUP(B566,'Project Resource Master'!C:N,12,0)</f>
        <v>50</v>
      </c>
      <c r="P566" s="50">
        <f>+O566*N566</f>
        <v>190.97222222222226</v>
      </c>
      <c r="Q566" s="50">
        <f>+N566*B562</f>
        <v>381.94444444444451</v>
      </c>
      <c r="R566" s="50">
        <f>Q566*O566</f>
        <v>19097.222222222226</v>
      </c>
    </row>
    <row r="567" spans="1:18" x14ac:dyDescent="0.35">
      <c r="A567" s="26">
        <v>2</v>
      </c>
      <c r="B567" s="8" t="s">
        <v>1538</v>
      </c>
      <c r="C567" s="41" t="str">
        <f>VLOOKUP(B567,'Project Resource Master'!C:N,5,0)</f>
        <v>9mm MDF - MR Grade</v>
      </c>
      <c r="D567" s="50">
        <v>5</v>
      </c>
      <c r="E567" s="50">
        <v>1</v>
      </c>
      <c r="F567" s="50">
        <f>1/1.2</f>
        <v>0.83333333333333337</v>
      </c>
      <c r="G567" s="50">
        <v>1</v>
      </c>
      <c r="H567" s="50">
        <f>2/2.4</f>
        <v>0.83333333333333337</v>
      </c>
      <c r="I567" s="50">
        <v>1</v>
      </c>
      <c r="J567" s="50">
        <f>PRODUCT(D567:I567)</f>
        <v>3.4722222222222228</v>
      </c>
      <c r="K567" s="41" t="str">
        <f>VLOOKUP(B567,'Project Resource Master'!C:N,6,0)</f>
        <v>board</v>
      </c>
      <c r="L567" s="50">
        <f>VLOOKUP(B567,'Project Resource Master'!C:N,11,0)</f>
        <v>0.05</v>
      </c>
      <c r="M567" s="50">
        <f>J567*L567</f>
        <v>0.17361111111111116</v>
      </c>
      <c r="N567" s="50">
        <f>+J567+M567</f>
        <v>3.6458333333333339</v>
      </c>
      <c r="O567" s="50">
        <f>VLOOKUP(B567,'Project Resource Master'!C:N,12,0)</f>
        <v>50</v>
      </c>
      <c r="P567" s="50">
        <f>+O567*N567</f>
        <v>182.29166666666669</v>
      </c>
      <c r="Q567" s="50">
        <f>+N567*B562</f>
        <v>364.58333333333337</v>
      </c>
      <c r="R567" s="50">
        <f>Q567*O567</f>
        <v>18229.166666666668</v>
      </c>
    </row>
    <row r="568" spans="1:18" x14ac:dyDescent="0.35">
      <c r="A568" s="26">
        <v>3</v>
      </c>
      <c r="B568" s="8" t="s">
        <v>1527</v>
      </c>
      <c r="C568" s="41" t="str">
        <f>VLOOKUP(B568,'Project Resource Master'!C:N,5,0)</f>
        <v>Ash veneer - Q-Cut</v>
      </c>
      <c r="D568" s="50">
        <v>5</v>
      </c>
      <c r="E568" s="50">
        <v>1</v>
      </c>
      <c r="F568" s="50">
        <v>1</v>
      </c>
      <c r="G568" s="50">
        <v>1</v>
      </c>
      <c r="H568" s="50">
        <v>2</v>
      </c>
      <c r="I568" s="50">
        <v>1</v>
      </c>
      <c r="J568" s="50">
        <f>PRODUCT(D568:I568)</f>
        <v>10</v>
      </c>
      <c r="K568" s="41" t="str">
        <f>VLOOKUP(B568,'Project Resource Master'!C:N,6,0)</f>
        <v>sqm</v>
      </c>
      <c r="L568" s="50">
        <f>VLOOKUP(B568,'Project Resource Master'!C:N,11,0)</f>
        <v>0.05</v>
      </c>
      <c r="M568" s="50">
        <f>J568*L568</f>
        <v>0.5</v>
      </c>
      <c r="N568" s="50">
        <f>+J568+M568</f>
        <v>10.5</v>
      </c>
      <c r="O568" s="50">
        <f>VLOOKUP(B568,'Project Resource Master'!C:N,12,0)</f>
        <v>80</v>
      </c>
      <c r="P568" s="50">
        <f>+O568*N568</f>
        <v>840</v>
      </c>
      <c r="Q568" s="50">
        <f>+N568*B562</f>
        <v>1050</v>
      </c>
      <c r="R568" s="50">
        <f>Q568*O568</f>
        <v>84000</v>
      </c>
    </row>
    <row r="569" spans="1:18" x14ac:dyDescent="0.35">
      <c r="A569" s="26">
        <v>4</v>
      </c>
      <c r="B569" s="8" t="s">
        <v>1528</v>
      </c>
      <c r="C569" s="41" t="str">
        <f>VLOOKUP(B569,'Project Resource Master'!C:N,5,0)</f>
        <v>Balancer Veneer</v>
      </c>
      <c r="D569" s="50">
        <v>5</v>
      </c>
      <c r="E569" s="50">
        <v>1</v>
      </c>
      <c r="F569" s="50">
        <v>1</v>
      </c>
      <c r="G569" s="50">
        <v>1</v>
      </c>
      <c r="H569" s="50">
        <v>2</v>
      </c>
      <c r="I569" s="50">
        <v>1</v>
      </c>
      <c r="J569" s="50">
        <f>PRODUCT(D569:I569)</f>
        <v>10</v>
      </c>
      <c r="K569" s="41" t="str">
        <f>VLOOKUP(B569,'Project Resource Master'!C:N,6,0)</f>
        <v>sqm</v>
      </c>
      <c r="L569" s="50">
        <f>VLOOKUP(B569,'Project Resource Master'!C:N,11,0)</f>
        <v>0.05</v>
      </c>
      <c r="M569" s="50">
        <f>J569*L569</f>
        <v>0.5</v>
      </c>
      <c r="N569" s="50">
        <f>+J569+M569</f>
        <v>10.5</v>
      </c>
      <c r="O569" s="50">
        <f>VLOOKUP(B569,'Project Resource Master'!C:N,12,0)</f>
        <v>50</v>
      </c>
      <c r="P569" s="50">
        <f>+O569*N569</f>
        <v>525</v>
      </c>
      <c r="Q569" s="50">
        <f>+N569*B562</f>
        <v>1050</v>
      </c>
      <c r="R569" s="50">
        <f>Q569*O569</f>
        <v>52500</v>
      </c>
    </row>
    <row r="570" spans="1:18" x14ac:dyDescent="0.35">
      <c r="A570" s="26">
        <v>5</v>
      </c>
      <c r="B570" s="8" t="s">
        <v>1526</v>
      </c>
      <c r="C570" s="41" t="str">
        <f>VLOOKUP(B570,'Project Resource Master'!C:N,5,0)</f>
        <v>Ash wood - 2" x 8" - AD</v>
      </c>
      <c r="D570" s="50">
        <v>2</v>
      </c>
      <c r="E570" s="50">
        <v>5</v>
      </c>
      <c r="F570" s="50">
        <v>1</v>
      </c>
      <c r="G570" s="50">
        <f>1/12</f>
        <v>8.3333333333333329E-2</v>
      </c>
      <c r="H570" s="50">
        <f>0.5/12</f>
        <v>4.1666666666666664E-2</v>
      </c>
      <c r="I570" s="50">
        <v>1</v>
      </c>
      <c r="J570" s="50">
        <f>PRODUCT(D570:I570)</f>
        <v>3.4722222222222217E-2</v>
      </c>
      <c r="K570" s="41" t="str">
        <f>VLOOKUP(B570,'Project Resource Master'!C:N,6,0)</f>
        <v>cft</v>
      </c>
      <c r="L570" s="50">
        <f>VLOOKUP(B570,'Project Resource Master'!C:N,11,0)</f>
        <v>0.1</v>
      </c>
      <c r="M570" s="50">
        <f>J570*L570</f>
        <v>3.472222222222222E-3</v>
      </c>
      <c r="N570" s="50">
        <f>+J570+M570</f>
        <v>3.8194444444444441E-2</v>
      </c>
      <c r="O570" s="50">
        <f>VLOOKUP(B570,'Project Resource Master'!C:N,12,0)</f>
        <v>50</v>
      </c>
      <c r="P570" s="50">
        <f>+O570*N570</f>
        <v>1.9097222222222221</v>
      </c>
      <c r="Q570" s="50">
        <f>+N570*B562</f>
        <v>3.8194444444444442</v>
      </c>
      <c r="R570" s="50">
        <f>Q570*O570</f>
        <v>190.9722222222222</v>
      </c>
    </row>
    <row r="571" spans="1:18" x14ac:dyDescent="0.35">
      <c r="A571" s="26">
        <v>6</v>
      </c>
      <c r="B571" s="8" t="s">
        <v>1526</v>
      </c>
      <c r="C571" s="41" t="str">
        <f>VLOOKUP(B571,'Project Resource Master'!C:N,5,0)</f>
        <v>Ash wood - 2" x 8" - AD</v>
      </c>
      <c r="D571" s="50">
        <v>2</v>
      </c>
      <c r="E571" s="50">
        <v>5</v>
      </c>
      <c r="F571" s="50">
        <v>2</v>
      </c>
      <c r="G571" s="50">
        <f>1/12</f>
        <v>8.3333333333333329E-2</v>
      </c>
      <c r="H571" s="50">
        <f>0.5/12</f>
        <v>4.1666666666666664E-2</v>
      </c>
      <c r="I571" s="50">
        <v>1</v>
      </c>
      <c r="J571" s="50">
        <f>PRODUCT(D571:I571)</f>
        <v>6.9444444444444434E-2</v>
      </c>
      <c r="K571" s="41" t="str">
        <f>VLOOKUP(B571,'Project Resource Master'!C:N,6,0)</f>
        <v>cft</v>
      </c>
      <c r="L571" s="50">
        <f>VLOOKUP(B571,'Project Resource Master'!C:N,11,0)</f>
        <v>0.1</v>
      </c>
      <c r="M571" s="50">
        <f>J571*L571</f>
        <v>6.9444444444444441E-3</v>
      </c>
      <c r="N571" s="50">
        <f>+J571+M571</f>
        <v>7.6388888888888881E-2</v>
      </c>
      <c r="O571" s="50">
        <f>VLOOKUP(B571,'Project Resource Master'!C:N,12,0)</f>
        <v>50</v>
      </c>
      <c r="P571" s="50">
        <f>+O571*N571</f>
        <v>3.8194444444444442</v>
      </c>
      <c r="Q571" s="50">
        <f>+N571*B562</f>
        <v>7.6388888888888884</v>
      </c>
      <c r="R571" s="50">
        <f>Q571*O571</f>
        <v>381.9444444444444</v>
      </c>
    </row>
    <row r="572" spans="1:18" x14ac:dyDescent="0.35">
      <c r="A572" s="26">
        <v>7</v>
      </c>
      <c r="B572" s="8" t="s">
        <v>1536</v>
      </c>
      <c r="C572" s="41" t="str">
        <f>VLOOKUP(B572,'Project Resource Master'!C:N,5,0)</f>
        <v>Meranti wood - 2" x 8" - AD</v>
      </c>
      <c r="D572" s="50">
        <v>8</v>
      </c>
      <c r="E572" s="50">
        <v>5</v>
      </c>
      <c r="F572" s="50">
        <v>1</v>
      </c>
      <c r="G572" s="50">
        <f>2/12</f>
        <v>0.16666666666666666</v>
      </c>
      <c r="H572" s="50">
        <f>2/12</f>
        <v>0.16666666666666666</v>
      </c>
      <c r="I572" s="50">
        <v>1</v>
      </c>
      <c r="J572" s="50">
        <f>PRODUCT(D572:I572)</f>
        <v>1.1111111111111109</v>
      </c>
      <c r="K572" s="41" t="str">
        <f>VLOOKUP(B572,'Project Resource Master'!C:N,6,0)</f>
        <v>cft</v>
      </c>
      <c r="L572" s="50">
        <f>VLOOKUP(B572,'Project Resource Master'!C:N,11,0)</f>
        <v>0.1</v>
      </c>
      <c r="M572" s="50">
        <f>J572*L572</f>
        <v>0.1111111111111111</v>
      </c>
      <c r="N572" s="50">
        <f>+J572+M572</f>
        <v>1.2222222222222221</v>
      </c>
      <c r="O572" s="50">
        <f>VLOOKUP(B572,'Project Resource Master'!C:N,12,0)</f>
        <v>80</v>
      </c>
      <c r="P572" s="50">
        <f>+O572*N572</f>
        <v>97.777777777777771</v>
      </c>
      <c r="Q572" s="50">
        <f>+N572*B562</f>
        <v>122.22222222222221</v>
      </c>
      <c r="R572" s="50">
        <f>Q572*O572</f>
        <v>9777.7777777777774</v>
      </c>
    </row>
    <row r="573" spans="1:18" x14ac:dyDescent="0.35">
      <c r="A573" s="26">
        <v>8</v>
      </c>
      <c r="B573" s="8" t="s">
        <v>1536</v>
      </c>
      <c r="C573" s="41" t="str">
        <f>VLOOKUP(B573,'Project Resource Master'!C:N,5,0)</f>
        <v>Meranti wood - 2" x 8" - AD</v>
      </c>
      <c r="D573" s="50">
        <v>4</v>
      </c>
      <c r="E573" s="50">
        <v>5</v>
      </c>
      <c r="F573" s="50">
        <v>2</v>
      </c>
      <c r="G573" s="50">
        <f>2/12</f>
        <v>0.16666666666666666</v>
      </c>
      <c r="H573" s="50">
        <f>2/12</f>
        <v>0.16666666666666666</v>
      </c>
      <c r="I573" s="50">
        <v>1</v>
      </c>
      <c r="J573" s="50">
        <f>PRODUCT(D573:I573)</f>
        <v>1.1111111111111109</v>
      </c>
      <c r="K573" s="41" t="str">
        <f>VLOOKUP(B573,'Project Resource Master'!C:N,6,0)</f>
        <v>cft</v>
      </c>
      <c r="L573" s="50">
        <f>VLOOKUP(B573,'Project Resource Master'!C:N,11,0)</f>
        <v>0.1</v>
      </c>
      <c r="M573" s="50">
        <f>J573*L573</f>
        <v>0.1111111111111111</v>
      </c>
      <c r="N573" s="50">
        <f>+J573+M573</f>
        <v>1.2222222222222221</v>
      </c>
      <c r="O573" s="50">
        <f>VLOOKUP(B573,'Project Resource Master'!C:N,12,0)</f>
        <v>80</v>
      </c>
      <c r="P573" s="50">
        <f>+O573*N573</f>
        <v>97.777777777777771</v>
      </c>
      <c r="Q573" s="50">
        <f>+N573*B562</f>
        <v>122.22222222222221</v>
      </c>
      <c r="R573" s="50">
        <f>Q573*O573</f>
        <v>9777.7777777777774</v>
      </c>
    </row>
    <row r="574" spans="1:18" x14ac:dyDescent="0.35">
      <c r="A574" s="26">
        <v>9</v>
      </c>
      <c r="B574" s="8" t="s">
        <v>1497</v>
      </c>
      <c r="C574" s="41" t="str">
        <f>VLOOKUP(B574,'Project Resource Master'!C:N,5,0)</f>
        <v>Helper</v>
      </c>
      <c r="D574" s="50">
        <v>50</v>
      </c>
      <c r="E574" s="50">
        <v>2</v>
      </c>
      <c r="F574" s="50">
        <v>1</v>
      </c>
      <c r="G574" s="50">
        <v>1</v>
      </c>
      <c r="H574" s="50">
        <v>1</v>
      </c>
      <c r="I574" s="50">
        <v>1</v>
      </c>
      <c r="J574" s="50">
        <f>PRODUCT(D574:I574)</f>
        <v>100</v>
      </c>
      <c r="K574" s="41" t="str">
        <f>VLOOKUP(B574,'Project Resource Master'!C:N,6,0)</f>
        <v>hr</v>
      </c>
      <c r="L574" s="50">
        <f>VLOOKUP(B574,'Project Resource Master'!C:N,11,0)</f>
        <v>0.2</v>
      </c>
      <c r="M574" s="50">
        <f>J574*L574</f>
        <v>20</v>
      </c>
      <c r="N574" s="50">
        <f>+J574+M574</f>
        <v>120</v>
      </c>
      <c r="O574" s="50">
        <f>VLOOKUP(B574,'Project Resource Master'!C:N,12,0)</f>
        <v>100</v>
      </c>
      <c r="P574" s="50">
        <f>+O574*N574</f>
        <v>12000</v>
      </c>
      <c r="Q574" s="50">
        <f>+N574*B562</f>
        <v>12000</v>
      </c>
      <c r="R574" s="50">
        <f>Q574*O574</f>
        <v>1200000</v>
      </c>
    </row>
    <row r="575" spans="1:18" x14ac:dyDescent="0.35">
      <c r="A575" s="26">
        <v>10</v>
      </c>
      <c r="B575" s="8" t="s">
        <v>1496</v>
      </c>
      <c r="C575" s="41" t="str">
        <f>VLOOKUP(B575,'Project Resource Master'!C:N,5,0)</f>
        <v>Carpenter</v>
      </c>
      <c r="D575" s="50">
        <v>50</v>
      </c>
      <c r="E575" s="50">
        <v>2</v>
      </c>
      <c r="F575" s="50">
        <v>1</v>
      </c>
      <c r="G575" s="50">
        <v>1</v>
      </c>
      <c r="H575" s="50">
        <v>1</v>
      </c>
      <c r="I575" s="50">
        <v>1</v>
      </c>
      <c r="J575" s="50">
        <f>PRODUCT(D575:I575)</f>
        <v>100</v>
      </c>
      <c r="K575" s="41" t="str">
        <f>VLOOKUP(B575,'Project Resource Master'!C:N,6,0)</f>
        <v>hr</v>
      </c>
      <c r="L575" s="50">
        <f>VLOOKUP(B575,'Project Resource Master'!C:N,11,0)</f>
        <v>0.2</v>
      </c>
      <c r="M575" s="50">
        <f>J575*L575</f>
        <v>20</v>
      </c>
      <c r="N575" s="50">
        <f>+J575+M575</f>
        <v>120</v>
      </c>
      <c r="O575" s="50">
        <f>VLOOKUP(B575,'Project Resource Master'!C:N,12,0)</f>
        <v>100</v>
      </c>
      <c r="P575" s="50">
        <f>+O575*N575</f>
        <v>12000</v>
      </c>
      <c r="Q575" s="50">
        <f>+N575*B562</f>
        <v>12000</v>
      </c>
      <c r="R575" s="50">
        <f>Q575*O575</f>
        <v>1200000</v>
      </c>
    </row>
    <row r="576" spans="1:18" x14ac:dyDescent="0.35">
      <c r="A576" s="27"/>
      <c r="B576" s="41"/>
      <c r="C576" s="41"/>
      <c r="D576" s="50"/>
      <c r="E576" s="50"/>
      <c r="F576" s="50"/>
      <c r="G576" s="50"/>
      <c r="H576" s="50"/>
      <c r="I576" s="50"/>
      <c r="J576" s="50"/>
      <c r="K576" s="41"/>
      <c r="L576" s="50"/>
      <c r="M576" s="50"/>
      <c r="N576" s="50"/>
      <c r="O576" s="50"/>
      <c r="P576" s="50"/>
      <c r="Q576" s="50"/>
      <c r="R576" s="50"/>
    </row>
    <row r="577" spans="1:18" s="14" customFormat="1" x14ac:dyDescent="0.35">
      <c r="A577" s="29" t="str">
        <f>B560</f>
        <v>5k</v>
      </c>
      <c r="B577" s="7"/>
      <c r="C577" s="7" t="s">
        <v>1485</v>
      </c>
      <c r="D577" s="51"/>
      <c r="E577" s="51"/>
      <c r="F577" s="51"/>
      <c r="G577" s="51"/>
      <c r="H577" s="51"/>
      <c r="I577" s="51"/>
      <c r="J577" s="51"/>
      <c r="K577" s="7"/>
      <c r="L577" s="51"/>
      <c r="M577" s="51"/>
      <c r="N577" s="51"/>
      <c r="O577" s="51"/>
      <c r="P577" s="51">
        <f>SUM(P565:P576)</f>
        <v>25939.548611111109</v>
      </c>
      <c r="Q577" s="51"/>
      <c r="R577" s="51">
        <f>SUM(R565:R576)</f>
        <v>2593954.861111111</v>
      </c>
    </row>
    <row r="580" spans="1:18" x14ac:dyDescent="0.35">
      <c r="A580" s="29" t="s">
        <v>1348</v>
      </c>
      <c r="B580" s="49" t="s">
        <v>1376</v>
      </c>
      <c r="C580" s="41"/>
      <c r="D580" s="50"/>
      <c r="E580" s="50"/>
      <c r="F580" s="50"/>
      <c r="G580" s="50"/>
      <c r="H580" s="50"/>
      <c r="I580" s="50"/>
      <c r="J580" s="50"/>
      <c r="K580" s="41"/>
      <c r="L580" s="50"/>
      <c r="M580" s="50"/>
      <c r="N580" s="50"/>
      <c r="O580" s="50"/>
      <c r="P580" s="50"/>
      <c r="Q580" s="50"/>
      <c r="R580" s="50"/>
    </row>
    <row r="581" spans="1:18" ht="29" x14ac:dyDescent="0.35">
      <c r="A581" s="29" t="s">
        <v>1450</v>
      </c>
      <c r="B581" s="49" t="str">
        <f>VLOOKUP(B580,'Working BOQ'!A:K,9,0)</f>
        <v>M30 Concrete for Columns</v>
      </c>
      <c r="C581" s="41"/>
      <c r="D581" s="50"/>
      <c r="E581" s="50"/>
      <c r="F581" s="50"/>
      <c r="G581" s="50"/>
      <c r="H581" s="50"/>
      <c r="I581" s="50"/>
      <c r="J581" s="50"/>
      <c r="K581" s="41"/>
      <c r="L581" s="50"/>
      <c r="M581" s="50"/>
      <c r="N581" s="50"/>
      <c r="O581" s="50"/>
      <c r="P581" s="50"/>
      <c r="Q581" s="50"/>
      <c r="R581" s="50"/>
    </row>
    <row r="582" spans="1:18" x14ac:dyDescent="0.35">
      <c r="A582" s="29" t="s">
        <v>1451</v>
      </c>
      <c r="B582" s="49">
        <f>VLOOKUP(B580,'Working BOQ'!A:N,14,0)</f>
        <v>1025</v>
      </c>
      <c r="C582" s="41"/>
      <c r="D582" s="50"/>
      <c r="E582" s="50"/>
      <c r="F582" s="50"/>
      <c r="G582" s="50"/>
      <c r="H582" s="50"/>
      <c r="I582" s="50"/>
      <c r="J582" s="50"/>
      <c r="K582" s="41"/>
      <c r="L582" s="50"/>
      <c r="M582" s="50"/>
      <c r="N582" s="50"/>
      <c r="O582" s="50"/>
      <c r="P582" s="50"/>
      <c r="Q582" s="50"/>
      <c r="R582" s="50"/>
    </row>
    <row r="583" spans="1:18" x14ac:dyDescent="0.35">
      <c r="A583" s="29" t="s">
        <v>1</v>
      </c>
      <c r="B583" s="49" t="str">
        <f>VLOOKUP(B580,'Working BOQ'!A:K,11,0)</f>
        <v>cbm</v>
      </c>
      <c r="C583" s="41"/>
      <c r="D583" s="50"/>
      <c r="E583" s="50"/>
      <c r="F583" s="50"/>
      <c r="G583" s="50"/>
      <c r="H583" s="50"/>
      <c r="I583" s="50"/>
      <c r="J583" s="50"/>
      <c r="K583" s="41"/>
      <c r="L583" s="50"/>
      <c r="M583" s="50"/>
      <c r="N583" s="50"/>
      <c r="O583" s="50"/>
      <c r="P583" s="50"/>
      <c r="Q583" s="50"/>
      <c r="R583" s="50"/>
    </row>
    <row r="584" spans="1:18" s="6" customFormat="1" x14ac:dyDescent="0.35">
      <c r="A584" s="24" t="s">
        <v>110</v>
      </c>
      <c r="B584" s="5" t="s">
        <v>112</v>
      </c>
      <c r="C584" s="5" t="s">
        <v>111</v>
      </c>
      <c r="D584" s="16" t="s">
        <v>1200</v>
      </c>
      <c r="E584" s="16" t="s">
        <v>1200</v>
      </c>
      <c r="F584" s="16" t="s">
        <v>1452</v>
      </c>
      <c r="G584" s="16" t="s">
        <v>1453</v>
      </c>
      <c r="H584" s="16" t="s">
        <v>1454</v>
      </c>
      <c r="I584" s="16" t="s">
        <v>1455</v>
      </c>
      <c r="J584" s="16" t="s">
        <v>3</v>
      </c>
      <c r="K584" s="5" t="s">
        <v>1</v>
      </c>
      <c r="L584" s="16" t="s">
        <v>1456</v>
      </c>
      <c r="M584" s="16" t="s">
        <v>1457</v>
      </c>
      <c r="N584" s="16" t="s">
        <v>1458</v>
      </c>
      <c r="O584" s="16" t="s">
        <v>1459</v>
      </c>
      <c r="P584" s="16" t="s">
        <v>1122</v>
      </c>
      <c r="Q584" s="16" t="s">
        <v>1486</v>
      </c>
      <c r="R584" s="16" t="s">
        <v>1498</v>
      </c>
    </row>
    <row r="585" spans="1:18" x14ac:dyDescent="0.35">
      <c r="A585" s="27"/>
      <c r="B585" s="41"/>
      <c r="C585" s="41"/>
      <c r="D585" s="50"/>
      <c r="E585" s="50"/>
      <c r="F585" s="50"/>
      <c r="G585" s="50"/>
      <c r="H585" s="50"/>
      <c r="I585" s="50"/>
      <c r="J585" s="50"/>
      <c r="K585" s="41"/>
      <c r="L585" s="50"/>
      <c r="M585" s="50"/>
      <c r="N585" s="50"/>
      <c r="O585" s="50"/>
      <c r="P585" s="50"/>
      <c r="Q585" s="50"/>
      <c r="R585" s="50"/>
    </row>
    <row r="586" spans="1:18" x14ac:dyDescent="0.35">
      <c r="A586" s="26">
        <v>1</v>
      </c>
      <c r="B586" s="8" t="s">
        <v>1539</v>
      </c>
      <c r="C586" s="41" t="str">
        <f>VLOOKUP(B586,'Project Resource Master'!C:N,5,0)</f>
        <v>Cement OPC 43 Grade</v>
      </c>
      <c r="D586" s="50">
        <v>5</v>
      </c>
      <c r="E586" s="50">
        <v>1</v>
      </c>
      <c r="F586" s="50">
        <v>1</v>
      </c>
      <c r="G586" s="50">
        <v>1</v>
      </c>
      <c r="H586" s="50">
        <v>1</v>
      </c>
      <c r="I586" s="50">
        <v>1</v>
      </c>
      <c r="J586" s="50">
        <f>PRODUCT(D586:I586)</f>
        <v>5</v>
      </c>
      <c r="K586" s="41" t="str">
        <f>VLOOKUP(B586,'Project Resource Master'!C:N,6,0)</f>
        <v>bag</v>
      </c>
      <c r="L586" s="50">
        <f>VLOOKUP(B586,'Project Resource Master'!C:N,11,0)</f>
        <v>0.1</v>
      </c>
      <c r="M586" s="50">
        <f>J586*L586</f>
        <v>0.5</v>
      </c>
      <c r="N586" s="50">
        <f>+J586+M586</f>
        <v>5.5</v>
      </c>
      <c r="O586" s="50">
        <f>VLOOKUP(B586,'Project Resource Master'!C:N,12,0)</f>
        <v>50</v>
      </c>
      <c r="P586" s="50">
        <f>+O586*N586</f>
        <v>275</v>
      </c>
      <c r="Q586" s="50">
        <f>+N586*B582</f>
        <v>5637.5</v>
      </c>
      <c r="R586" s="50">
        <f>Q586*O586</f>
        <v>281875</v>
      </c>
    </row>
    <row r="587" spans="1:18" x14ac:dyDescent="0.35">
      <c r="A587" s="26">
        <v>2</v>
      </c>
      <c r="B587" s="8" t="s">
        <v>1540</v>
      </c>
      <c r="C587" s="41" t="str">
        <f>VLOOKUP(B587,'Project Resource Master'!C:N,5,0)</f>
        <v>M-Sand Grade A</v>
      </c>
      <c r="D587" s="50">
        <v>1</v>
      </c>
      <c r="E587" s="50">
        <v>1</v>
      </c>
      <c r="F587" s="50">
        <v>1</v>
      </c>
      <c r="G587" s="50">
        <v>1</v>
      </c>
      <c r="H587" s="50">
        <v>1</v>
      </c>
      <c r="I587" s="50">
        <v>1</v>
      </c>
      <c r="J587" s="50">
        <f>PRODUCT(D587:I587)</f>
        <v>1</v>
      </c>
      <c r="K587" s="41" t="str">
        <f>VLOOKUP(B587,'Project Resource Master'!C:N,6,0)</f>
        <v>unit</v>
      </c>
      <c r="L587" s="50">
        <f>VLOOKUP(B587,'Project Resource Master'!C:N,11,0)</f>
        <v>0.1</v>
      </c>
      <c r="M587" s="50">
        <f>J587*L587</f>
        <v>0.1</v>
      </c>
      <c r="N587" s="50">
        <f>+J587+M587</f>
        <v>1.1000000000000001</v>
      </c>
      <c r="O587" s="50">
        <f>VLOOKUP(B587,'Project Resource Master'!C:N,12,0)</f>
        <v>50</v>
      </c>
      <c r="P587" s="50">
        <f>+O587*N587</f>
        <v>55.000000000000007</v>
      </c>
      <c r="Q587" s="50">
        <f>+N587*B582</f>
        <v>1127.5</v>
      </c>
      <c r="R587" s="50">
        <f>Q587*O587</f>
        <v>56375</v>
      </c>
    </row>
    <row r="588" spans="1:18" x14ac:dyDescent="0.35">
      <c r="A588" s="26">
        <v>3</v>
      </c>
      <c r="B588" s="8" t="s">
        <v>1541</v>
      </c>
      <c r="C588" s="41" t="str">
        <f>VLOOKUP(B588,'Project Resource Master'!C:N,5,0)</f>
        <v>Water - Grade A</v>
      </c>
      <c r="D588" s="50">
        <v>10</v>
      </c>
      <c r="E588" s="50">
        <v>1</v>
      </c>
      <c r="F588" s="50">
        <v>1</v>
      </c>
      <c r="G588" s="50">
        <v>1</v>
      </c>
      <c r="H588" s="50">
        <v>1</v>
      </c>
      <c r="I588" s="50">
        <v>1</v>
      </c>
      <c r="J588" s="50">
        <f>PRODUCT(D588:I588)</f>
        <v>10</v>
      </c>
      <c r="K588" s="41" t="str">
        <f>VLOOKUP(B588,'Project Resource Master'!C:N,6,0)</f>
        <v>ltr</v>
      </c>
      <c r="L588" s="50">
        <f>VLOOKUP(B588,'Project Resource Master'!C:N,11,0)</f>
        <v>0.05</v>
      </c>
      <c r="M588" s="50">
        <f>J588*L588</f>
        <v>0.5</v>
      </c>
      <c r="N588" s="50">
        <f>+J588+M588</f>
        <v>10.5</v>
      </c>
      <c r="O588" s="50">
        <f>VLOOKUP(B588,'Project Resource Master'!C:N,12,0)</f>
        <v>50</v>
      </c>
      <c r="P588" s="50">
        <f>+O588*N588</f>
        <v>525</v>
      </c>
      <c r="Q588" s="50">
        <f>+N588*B582</f>
        <v>10762.5</v>
      </c>
      <c r="R588" s="50">
        <f>Q588*O588</f>
        <v>538125</v>
      </c>
    </row>
    <row r="589" spans="1:18" x14ac:dyDescent="0.35">
      <c r="A589" s="26">
        <v>4</v>
      </c>
      <c r="B589" s="8" t="s">
        <v>1490</v>
      </c>
      <c r="C589" s="41" t="str">
        <f>VLOOKUP(B589,'Project Resource Master'!C:N,5,0)</f>
        <v>Concrete Mason</v>
      </c>
      <c r="D589" s="50">
        <v>5</v>
      </c>
      <c r="E589" s="50">
        <v>1</v>
      </c>
      <c r="F589" s="50">
        <v>1</v>
      </c>
      <c r="G589" s="50">
        <v>1</v>
      </c>
      <c r="H589" s="50">
        <v>1</v>
      </c>
      <c r="I589" s="50">
        <v>1</v>
      </c>
      <c r="J589" s="50">
        <f>PRODUCT(D589:I589)</f>
        <v>5</v>
      </c>
      <c r="K589" s="41" t="str">
        <f>VLOOKUP(B589,'Project Resource Master'!C:N,6,0)</f>
        <v>hr</v>
      </c>
      <c r="L589" s="50">
        <f>VLOOKUP(B589,'Project Resource Master'!C:N,11,0)</f>
        <v>0.1</v>
      </c>
      <c r="M589" s="50">
        <f>J589*L589</f>
        <v>0.5</v>
      </c>
      <c r="N589" s="50">
        <f>+J589+M589</f>
        <v>5.5</v>
      </c>
      <c r="O589" s="50">
        <f>VLOOKUP(B589,'Project Resource Master'!C:N,12,0)</f>
        <v>100</v>
      </c>
      <c r="P589" s="50">
        <f>+O589*N589</f>
        <v>550</v>
      </c>
      <c r="Q589" s="50">
        <f>+N589*B582</f>
        <v>5637.5</v>
      </c>
      <c r="R589" s="50">
        <f>Q589*O589</f>
        <v>563750</v>
      </c>
    </row>
    <row r="590" spans="1:18" x14ac:dyDescent="0.35">
      <c r="A590" s="26">
        <v>5</v>
      </c>
      <c r="B590" s="8" t="s">
        <v>1491</v>
      </c>
      <c r="C590" s="41" t="str">
        <f>VLOOKUP(B590,'Project Resource Master'!C:N,5,0)</f>
        <v>Helper</v>
      </c>
      <c r="D590" s="50">
        <v>5</v>
      </c>
      <c r="E590" s="50">
        <v>1</v>
      </c>
      <c r="F590" s="50">
        <v>1</v>
      </c>
      <c r="G590" s="50">
        <v>1</v>
      </c>
      <c r="H590" s="50">
        <v>1</v>
      </c>
      <c r="I590" s="50">
        <v>1</v>
      </c>
      <c r="J590" s="50">
        <f>PRODUCT(D590:I590)</f>
        <v>5</v>
      </c>
      <c r="K590" s="41" t="str">
        <f>VLOOKUP(B590,'Project Resource Master'!C:N,6,0)</f>
        <v>hr</v>
      </c>
      <c r="L590" s="50">
        <f>VLOOKUP(B590,'Project Resource Master'!C:N,11,0)</f>
        <v>0.05</v>
      </c>
      <c r="M590" s="50">
        <f>J590*L590</f>
        <v>0.25</v>
      </c>
      <c r="N590" s="50">
        <f>+J590+M590</f>
        <v>5.25</v>
      </c>
      <c r="O590" s="50">
        <f>VLOOKUP(B590,'Project Resource Master'!C:N,12,0)</f>
        <v>50</v>
      </c>
      <c r="P590" s="50">
        <f>+O590*N590</f>
        <v>262.5</v>
      </c>
      <c r="Q590" s="50">
        <f>+N590*B582</f>
        <v>5381.25</v>
      </c>
      <c r="R590" s="50">
        <f>Q590*O590</f>
        <v>269062.5</v>
      </c>
    </row>
    <row r="591" spans="1:18" x14ac:dyDescent="0.35">
      <c r="A591" s="27"/>
      <c r="B591" s="41"/>
      <c r="C591" s="41"/>
      <c r="D591" s="50"/>
      <c r="E591" s="50"/>
      <c r="F591" s="50"/>
      <c r="G591" s="50"/>
      <c r="H591" s="50"/>
      <c r="I591" s="50"/>
      <c r="J591" s="50"/>
      <c r="K591" s="41"/>
      <c r="L591" s="50"/>
      <c r="M591" s="50"/>
      <c r="N591" s="50"/>
      <c r="O591" s="50"/>
      <c r="P591" s="50"/>
      <c r="Q591" s="50"/>
      <c r="R591" s="50"/>
    </row>
    <row r="592" spans="1:18" s="14" customFormat="1" x14ac:dyDescent="0.35">
      <c r="A592" s="29" t="str">
        <f>B580</f>
        <v>3a</v>
      </c>
      <c r="B592" s="7"/>
      <c r="C592" s="7" t="s">
        <v>1485</v>
      </c>
      <c r="D592" s="51"/>
      <c r="E592" s="51"/>
      <c r="F592" s="51"/>
      <c r="G592" s="51"/>
      <c r="H592" s="51"/>
      <c r="I592" s="51"/>
      <c r="J592" s="51"/>
      <c r="K592" s="7"/>
      <c r="L592" s="51"/>
      <c r="M592" s="51"/>
      <c r="N592" s="51"/>
      <c r="O592" s="51"/>
      <c r="P592" s="51">
        <f>SUM(P585:P591)</f>
        <v>1667.5</v>
      </c>
      <c r="Q592" s="51"/>
      <c r="R592" s="51">
        <f>SUM(R585:R591)</f>
        <v>1709187.5</v>
      </c>
    </row>
    <row r="595" spans="1:18" x14ac:dyDescent="0.35">
      <c r="A595" s="29" t="s">
        <v>1348</v>
      </c>
      <c r="B595" s="49" t="s">
        <v>1377</v>
      </c>
      <c r="C595" s="41"/>
      <c r="D595" s="50"/>
      <c r="E595" s="50"/>
      <c r="F595" s="50"/>
      <c r="G595" s="50"/>
      <c r="H595" s="50"/>
      <c r="I595" s="50"/>
      <c r="J595" s="50"/>
      <c r="K595" s="41"/>
      <c r="L595" s="50"/>
      <c r="M595" s="50"/>
      <c r="N595" s="50"/>
      <c r="O595" s="50"/>
      <c r="P595" s="50"/>
      <c r="Q595" s="50"/>
      <c r="R595" s="50"/>
    </row>
    <row r="596" spans="1:18" ht="29" x14ac:dyDescent="0.35">
      <c r="A596" s="29" t="s">
        <v>1450</v>
      </c>
      <c r="B596" s="49" t="str">
        <f>VLOOKUP(B595,'Working BOQ'!A:K,9,0)</f>
        <v>M30 Concrete for Beams</v>
      </c>
      <c r="C596" s="41"/>
      <c r="D596" s="50"/>
      <c r="E596" s="50"/>
      <c r="F596" s="50"/>
      <c r="G596" s="50"/>
      <c r="H596" s="50"/>
      <c r="I596" s="50"/>
      <c r="J596" s="50"/>
      <c r="K596" s="41"/>
      <c r="L596" s="50"/>
      <c r="M596" s="50"/>
      <c r="N596" s="50"/>
      <c r="O596" s="50"/>
      <c r="P596" s="50"/>
      <c r="Q596" s="50"/>
      <c r="R596" s="50"/>
    </row>
    <row r="597" spans="1:18" x14ac:dyDescent="0.35">
      <c r="A597" s="29" t="s">
        <v>1451</v>
      </c>
      <c r="B597" s="49">
        <f>VLOOKUP(B595,'Working BOQ'!A:N,14,0)</f>
        <v>600</v>
      </c>
      <c r="C597" s="41"/>
      <c r="D597" s="50"/>
      <c r="E597" s="50"/>
      <c r="F597" s="50"/>
      <c r="G597" s="50"/>
      <c r="H597" s="50"/>
      <c r="I597" s="50"/>
      <c r="J597" s="50"/>
      <c r="K597" s="41"/>
      <c r="L597" s="50"/>
      <c r="M597" s="50"/>
      <c r="N597" s="50"/>
      <c r="O597" s="50"/>
      <c r="P597" s="50"/>
      <c r="Q597" s="50"/>
      <c r="R597" s="50"/>
    </row>
    <row r="598" spans="1:18" x14ac:dyDescent="0.35">
      <c r="A598" s="29" t="s">
        <v>1</v>
      </c>
      <c r="B598" s="49" t="str">
        <f>VLOOKUP(B595,'Working BOQ'!A:K,11,0)</f>
        <v>cbm</v>
      </c>
      <c r="C598" s="41"/>
      <c r="D598" s="50"/>
      <c r="E598" s="50"/>
      <c r="F598" s="50"/>
      <c r="G598" s="50"/>
      <c r="H598" s="50"/>
      <c r="I598" s="50"/>
      <c r="J598" s="50"/>
      <c r="K598" s="41"/>
      <c r="L598" s="50"/>
      <c r="M598" s="50"/>
      <c r="N598" s="50"/>
      <c r="O598" s="50"/>
      <c r="P598" s="50"/>
      <c r="Q598" s="50"/>
      <c r="R598" s="50"/>
    </row>
    <row r="599" spans="1:18" s="6" customFormat="1" x14ac:dyDescent="0.35">
      <c r="A599" s="24" t="s">
        <v>110</v>
      </c>
      <c r="B599" s="5" t="s">
        <v>112</v>
      </c>
      <c r="C599" s="5" t="s">
        <v>111</v>
      </c>
      <c r="D599" s="16" t="s">
        <v>1200</v>
      </c>
      <c r="E599" s="16" t="s">
        <v>1200</v>
      </c>
      <c r="F599" s="16" t="s">
        <v>1452</v>
      </c>
      <c r="G599" s="16" t="s">
        <v>1453</v>
      </c>
      <c r="H599" s="16" t="s">
        <v>1454</v>
      </c>
      <c r="I599" s="16" t="s">
        <v>1455</v>
      </c>
      <c r="J599" s="16" t="s">
        <v>3</v>
      </c>
      <c r="K599" s="5" t="s">
        <v>1</v>
      </c>
      <c r="L599" s="16" t="s">
        <v>1456</v>
      </c>
      <c r="M599" s="16" t="s">
        <v>1457</v>
      </c>
      <c r="N599" s="16" t="s">
        <v>1458</v>
      </c>
      <c r="O599" s="16" t="s">
        <v>1459</v>
      </c>
      <c r="P599" s="16" t="s">
        <v>1122</v>
      </c>
      <c r="Q599" s="16" t="s">
        <v>1486</v>
      </c>
      <c r="R599" s="16" t="s">
        <v>1498</v>
      </c>
    </row>
    <row r="600" spans="1:18" x14ac:dyDescent="0.35">
      <c r="A600" s="27"/>
      <c r="B600" s="41"/>
      <c r="C600" s="41"/>
      <c r="D600" s="50"/>
      <c r="E600" s="50"/>
      <c r="F600" s="50"/>
      <c r="G600" s="50"/>
      <c r="H600" s="50"/>
      <c r="I600" s="50"/>
      <c r="J600" s="50"/>
      <c r="K600" s="41"/>
      <c r="L600" s="50"/>
      <c r="M600" s="50"/>
      <c r="N600" s="50"/>
      <c r="O600" s="50"/>
      <c r="P600" s="50"/>
      <c r="Q600" s="50"/>
      <c r="R600" s="50"/>
    </row>
    <row r="601" spans="1:18" x14ac:dyDescent="0.35">
      <c r="A601" s="26">
        <v>1</v>
      </c>
      <c r="B601" s="8" t="s">
        <v>1545</v>
      </c>
      <c r="C601" s="41" t="str">
        <f>VLOOKUP(B601,'Project Resource Master'!C:N,5,0)</f>
        <v>Cement OPC 53 Grade</v>
      </c>
      <c r="D601" s="50">
        <v>5</v>
      </c>
      <c r="E601" s="50">
        <v>1</v>
      </c>
      <c r="F601" s="50">
        <v>1</v>
      </c>
      <c r="G601" s="50">
        <v>1</v>
      </c>
      <c r="H601" s="50">
        <v>1</v>
      </c>
      <c r="I601" s="50">
        <v>1</v>
      </c>
      <c r="J601" s="50">
        <f>PRODUCT(D601:I601)</f>
        <v>5</v>
      </c>
      <c r="K601" s="41" t="str">
        <f>VLOOKUP(B601,'Project Resource Master'!C:N,6,0)</f>
        <v>bag</v>
      </c>
      <c r="L601" s="50">
        <f>VLOOKUP(B601,'Project Resource Master'!C:N,11,0)</f>
        <v>0.05</v>
      </c>
      <c r="M601" s="50">
        <f>J601*L601</f>
        <v>0.25</v>
      </c>
      <c r="N601" s="50">
        <f>+J601+M601</f>
        <v>5.25</v>
      </c>
      <c r="O601" s="50">
        <f>VLOOKUP(B601,'Project Resource Master'!C:N,12,0)</f>
        <v>50</v>
      </c>
      <c r="P601" s="50">
        <f>+O601*N601</f>
        <v>262.5</v>
      </c>
      <c r="Q601" s="50">
        <f>+N601*B597</f>
        <v>3150</v>
      </c>
      <c r="R601" s="50">
        <f>Q601*O601</f>
        <v>157500</v>
      </c>
    </row>
    <row r="602" spans="1:18" x14ac:dyDescent="0.35">
      <c r="A602" s="26">
        <v>2</v>
      </c>
      <c r="B602" s="8" t="s">
        <v>1546</v>
      </c>
      <c r="C602" s="41" t="str">
        <f>VLOOKUP(B602,'Project Resource Master'!C:N,5,0)</f>
        <v>M-Sand Grade B</v>
      </c>
      <c r="D602" s="50">
        <v>1</v>
      </c>
      <c r="E602" s="50">
        <v>1</v>
      </c>
      <c r="F602" s="50">
        <v>1</v>
      </c>
      <c r="G602" s="50">
        <v>1</v>
      </c>
      <c r="H602" s="50">
        <v>1</v>
      </c>
      <c r="I602" s="50">
        <v>1</v>
      </c>
      <c r="J602" s="50">
        <f>PRODUCT(D602:I602)</f>
        <v>1</v>
      </c>
      <c r="K602" s="41" t="str">
        <f>VLOOKUP(B602,'Project Resource Master'!C:N,6,0)</f>
        <v>unit</v>
      </c>
      <c r="L602" s="50">
        <f>VLOOKUP(B602,'Project Resource Master'!C:N,11,0)</f>
        <v>0.05</v>
      </c>
      <c r="M602" s="50">
        <f>J602*L602</f>
        <v>0.05</v>
      </c>
      <c r="N602" s="50">
        <f>+J602+M602</f>
        <v>1.05</v>
      </c>
      <c r="O602" s="50">
        <f>VLOOKUP(B602,'Project Resource Master'!C:N,12,0)</f>
        <v>400</v>
      </c>
      <c r="P602" s="50">
        <f>+O602*N602</f>
        <v>420</v>
      </c>
      <c r="Q602" s="50">
        <f>+N602*B597</f>
        <v>630</v>
      </c>
      <c r="R602" s="50">
        <f>Q602*O602</f>
        <v>252000</v>
      </c>
    </row>
    <row r="603" spans="1:18" x14ac:dyDescent="0.35">
      <c r="A603" s="26">
        <v>3</v>
      </c>
      <c r="B603" s="8" t="s">
        <v>1543</v>
      </c>
      <c r="C603" s="41" t="str">
        <f>VLOOKUP(B603,'Project Resource Master'!C:N,5,0)</f>
        <v>Water - Grade B</v>
      </c>
      <c r="D603" s="50">
        <v>10</v>
      </c>
      <c r="E603" s="50">
        <v>1</v>
      </c>
      <c r="F603" s="50">
        <v>1</v>
      </c>
      <c r="G603" s="50">
        <v>1</v>
      </c>
      <c r="H603" s="50">
        <v>1</v>
      </c>
      <c r="I603" s="50">
        <v>1</v>
      </c>
      <c r="J603" s="50">
        <f>PRODUCT(D603:I603)</f>
        <v>10</v>
      </c>
      <c r="K603" s="41" t="str">
        <f>VLOOKUP(B603,'Project Resource Master'!C:N,6,0)</f>
        <v>ltr</v>
      </c>
      <c r="L603" s="50">
        <f>VLOOKUP(B603,'Project Resource Master'!C:N,11,0)</f>
        <v>0.1</v>
      </c>
      <c r="M603" s="50">
        <f>J603*L603</f>
        <v>1</v>
      </c>
      <c r="N603" s="50">
        <f>+J603+M603</f>
        <v>11</v>
      </c>
      <c r="O603" s="50">
        <f>VLOOKUP(B603,'Project Resource Master'!C:N,12,0)</f>
        <v>80</v>
      </c>
      <c r="P603" s="50">
        <f>+O603*N603</f>
        <v>880</v>
      </c>
      <c r="Q603" s="50">
        <f>+N603*B597</f>
        <v>6600</v>
      </c>
      <c r="R603" s="50">
        <f>Q603*O603</f>
        <v>528000</v>
      </c>
    </row>
    <row r="604" spans="1:18" x14ac:dyDescent="0.35">
      <c r="A604" s="26">
        <v>4</v>
      </c>
      <c r="B604" s="8" t="s">
        <v>1490</v>
      </c>
      <c r="C604" s="41" t="str">
        <f>VLOOKUP(B604,'Project Resource Master'!C:N,5,0)</f>
        <v>Concrete Mason</v>
      </c>
      <c r="D604" s="50">
        <v>5</v>
      </c>
      <c r="E604" s="50">
        <v>1</v>
      </c>
      <c r="F604" s="50">
        <v>1</v>
      </c>
      <c r="G604" s="50">
        <v>1</v>
      </c>
      <c r="H604" s="50">
        <v>1</v>
      </c>
      <c r="I604" s="50">
        <v>1</v>
      </c>
      <c r="J604" s="50">
        <f>PRODUCT(D604:I604)</f>
        <v>5</v>
      </c>
      <c r="K604" s="41" t="str">
        <f>VLOOKUP(B604,'Project Resource Master'!C:N,6,0)</f>
        <v>hr</v>
      </c>
      <c r="L604" s="50">
        <f>VLOOKUP(B604,'Project Resource Master'!C:N,11,0)</f>
        <v>0.1</v>
      </c>
      <c r="M604" s="50">
        <f>J604*L604</f>
        <v>0.5</v>
      </c>
      <c r="N604" s="50">
        <f>+J604+M604</f>
        <v>5.5</v>
      </c>
      <c r="O604" s="50">
        <f>VLOOKUP(B604,'Project Resource Master'!C:N,12,0)</f>
        <v>100</v>
      </c>
      <c r="P604" s="50">
        <f>+O604*N604</f>
        <v>550</v>
      </c>
      <c r="Q604" s="50">
        <f>+N604*B597</f>
        <v>3300</v>
      </c>
      <c r="R604" s="50">
        <f>Q604*O604</f>
        <v>330000</v>
      </c>
    </row>
    <row r="605" spans="1:18" x14ac:dyDescent="0.35">
      <c r="A605" s="26">
        <v>5</v>
      </c>
      <c r="B605" s="8" t="s">
        <v>1491</v>
      </c>
      <c r="C605" s="41" t="str">
        <f>VLOOKUP(B605,'Project Resource Master'!C:N,5,0)</f>
        <v>Helper</v>
      </c>
      <c r="D605" s="50">
        <v>5</v>
      </c>
      <c r="E605" s="50">
        <v>1</v>
      </c>
      <c r="F605" s="50">
        <v>1</v>
      </c>
      <c r="G605" s="50">
        <v>1</v>
      </c>
      <c r="H605" s="50">
        <v>1</v>
      </c>
      <c r="I605" s="50">
        <v>1</v>
      </c>
      <c r="J605" s="50">
        <f>PRODUCT(D605:I605)</f>
        <v>5</v>
      </c>
      <c r="K605" s="41" t="str">
        <f>VLOOKUP(B605,'Project Resource Master'!C:N,6,0)</f>
        <v>hr</v>
      </c>
      <c r="L605" s="50">
        <f>VLOOKUP(B605,'Project Resource Master'!C:N,11,0)</f>
        <v>0.05</v>
      </c>
      <c r="M605" s="50">
        <f>J605*L605</f>
        <v>0.25</v>
      </c>
      <c r="N605" s="50">
        <f>+J605+M605</f>
        <v>5.25</v>
      </c>
      <c r="O605" s="50">
        <f>VLOOKUP(B605,'Project Resource Master'!C:N,12,0)</f>
        <v>50</v>
      </c>
      <c r="P605" s="50">
        <f>+O605*N605</f>
        <v>262.5</v>
      </c>
      <c r="Q605" s="50">
        <f>+N605*B597</f>
        <v>3150</v>
      </c>
      <c r="R605" s="50">
        <f>Q605*O605</f>
        <v>157500</v>
      </c>
    </row>
    <row r="606" spans="1:18" x14ac:dyDescent="0.35">
      <c r="A606" s="27"/>
      <c r="B606" s="41"/>
      <c r="C606" s="41"/>
      <c r="D606" s="50"/>
      <c r="E606" s="50"/>
      <c r="F606" s="50"/>
      <c r="G606" s="50"/>
      <c r="H606" s="50"/>
      <c r="I606" s="50"/>
      <c r="J606" s="50"/>
      <c r="K606" s="41"/>
      <c r="L606" s="50"/>
      <c r="M606" s="50"/>
      <c r="N606" s="50"/>
      <c r="O606" s="50"/>
      <c r="P606" s="50"/>
      <c r="Q606" s="50"/>
      <c r="R606" s="50"/>
    </row>
    <row r="607" spans="1:18" s="14" customFormat="1" x14ac:dyDescent="0.35">
      <c r="A607" s="29" t="str">
        <f>B595</f>
        <v>3b</v>
      </c>
      <c r="B607" s="7"/>
      <c r="C607" s="7" t="s">
        <v>1485</v>
      </c>
      <c r="D607" s="51"/>
      <c r="E607" s="51"/>
      <c r="F607" s="51"/>
      <c r="G607" s="51"/>
      <c r="H607" s="51"/>
      <c r="I607" s="51"/>
      <c r="J607" s="51"/>
      <c r="K607" s="7"/>
      <c r="L607" s="51"/>
      <c r="M607" s="51"/>
      <c r="N607" s="51"/>
      <c r="O607" s="51"/>
      <c r="P607" s="51">
        <f>SUM(P600:P606)</f>
        <v>2375</v>
      </c>
      <c r="Q607" s="51"/>
      <c r="R607" s="51">
        <f>SUM(R600:R606)</f>
        <v>1425000</v>
      </c>
    </row>
    <row r="610" spans="1:18" x14ac:dyDescent="0.35">
      <c r="A610" s="29" t="s">
        <v>1348</v>
      </c>
      <c r="B610" s="49" t="s">
        <v>1378</v>
      </c>
      <c r="C610" s="41"/>
      <c r="D610" s="50"/>
      <c r="E610" s="50"/>
      <c r="F610" s="50"/>
      <c r="G610" s="50"/>
      <c r="H610" s="50"/>
      <c r="I610" s="50"/>
      <c r="J610" s="50"/>
      <c r="K610" s="41"/>
      <c r="L610" s="50"/>
      <c r="M610" s="50"/>
      <c r="N610" s="50"/>
      <c r="O610" s="50"/>
      <c r="P610" s="50"/>
      <c r="Q610" s="50"/>
      <c r="R610" s="50"/>
    </row>
    <row r="611" spans="1:18" ht="29" x14ac:dyDescent="0.35">
      <c r="A611" s="29" t="s">
        <v>1450</v>
      </c>
      <c r="B611" s="49" t="str">
        <f>VLOOKUP(B610,'Working BOQ'!A:K,9,0)</f>
        <v>M30 Concrete for Slabs</v>
      </c>
      <c r="C611" s="41"/>
      <c r="D611" s="50"/>
      <c r="E611" s="50"/>
      <c r="F611" s="50"/>
      <c r="G611" s="50"/>
      <c r="H611" s="50"/>
      <c r="I611" s="50"/>
      <c r="J611" s="50"/>
      <c r="K611" s="41"/>
      <c r="L611" s="50"/>
      <c r="M611" s="50"/>
      <c r="N611" s="50"/>
      <c r="O611" s="50"/>
      <c r="P611" s="50"/>
      <c r="Q611" s="50"/>
      <c r="R611" s="50"/>
    </row>
    <row r="612" spans="1:18" x14ac:dyDescent="0.35">
      <c r="A612" s="29" t="s">
        <v>1451</v>
      </c>
      <c r="B612" s="49">
        <f>VLOOKUP(B610,'Working BOQ'!A:N,14,0)</f>
        <v>400</v>
      </c>
      <c r="C612" s="41"/>
      <c r="D612" s="50"/>
      <c r="E612" s="50"/>
      <c r="F612" s="50"/>
      <c r="G612" s="50"/>
      <c r="H612" s="50"/>
      <c r="I612" s="50"/>
      <c r="J612" s="50"/>
      <c r="K612" s="41"/>
      <c r="L612" s="50"/>
      <c r="M612" s="50"/>
      <c r="N612" s="50"/>
      <c r="O612" s="50"/>
      <c r="P612" s="50"/>
      <c r="Q612" s="50"/>
      <c r="R612" s="50"/>
    </row>
    <row r="613" spans="1:18" x14ac:dyDescent="0.35">
      <c r="A613" s="29" t="s">
        <v>1</v>
      </c>
      <c r="B613" s="49" t="str">
        <f>VLOOKUP(B610,'Working BOQ'!A:K,11,0)</f>
        <v>cbm</v>
      </c>
      <c r="C613" s="41"/>
      <c r="D613" s="50"/>
      <c r="E613" s="50"/>
      <c r="F613" s="50"/>
      <c r="G613" s="50"/>
      <c r="H613" s="50"/>
      <c r="I613" s="50"/>
      <c r="J613" s="50"/>
      <c r="K613" s="41"/>
      <c r="L613" s="50"/>
      <c r="M613" s="50"/>
      <c r="N613" s="50"/>
      <c r="O613" s="50"/>
      <c r="P613" s="50"/>
      <c r="Q613" s="50"/>
      <c r="R613" s="50"/>
    </row>
    <row r="614" spans="1:18" s="6" customFormat="1" x14ac:dyDescent="0.35">
      <c r="A614" s="24" t="s">
        <v>110</v>
      </c>
      <c r="B614" s="5" t="s">
        <v>112</v>
      </c>
      <c r="C614" s="5" t="s">
        <v>111</v>
      </c>
      <c r="D614" s="16" t="s">
        <v>1200</v>
      </c>
      <c r="E614" s="16" t="s">
        <v>1200</v>
      </c>
      <c r="F614" s="16" t="s">
        <v>1452</v>
      </c>
      <c r="G614" s="16" t="s">
        <v>1453</v>
      </c>
      <c r="H614" s="16" t="s">
        <v>1454</v>
      </c>
      <c r="I614" s="16" t="s">
        <v>1455</v>
      </c>
      <c r="J614" s="16" t="s">
        <v>3</v>
      </c>
      <c r="K614" s="5" t="s">
        <v>1</v>
      </c>
      <c r="L614" s="16" t="s">
        <v>1456</v>
      </c>
      <c r="M614" s="16" t="s">
        <v>1457</v>
      </c>
      <c r="N614" s="16" t="s">
        <v>1458</v>
      </c>
      <c r="O614" s="16" t="s">
        <v>1459</v>
      </c>
      <c r="P614" s="16" t="s">
        <v>1122</v>
      </c>
      <c r="Q614" s="16" t="s">
        <v>1486</v>
      </c>
      <c r="R614" s="16" t="s">
        <v>1498</v>
      </c>
    </row>
    <row r="615" spans="1:18" x14ac:dyDescent="0.35">
      <c r="A615" s="27"/>
      <c r="B615" s="41"/>
      <c r="C615" s="41"/>
      <c r="D615" s="50"/>
      <c r="E615" s="50"/>
      <c r="F615" s="50"/>
      <c r="G615" s="50"/>
      <c r="H615" s="50"/>
      <c r="I615" s="50"/>
      <c r="J615" s="50"/>
      <c r="K615" s="41"/>
      <c r="L615" s="50"/>
      <c r="M615" s="50"/>
      <c r="N615" s="50"/>
      <c r="O615" s="50"/>
      <c r="P615" s="50"/>
      <c r="Q615" s="50"/>
      <c r="R615" s="50"/>
    </row>
    <row r="616" spans="1:18" x14ac:dyDescent="0.35">
      <c r="A616" s="26">
        <v>1</v>
      </c>
      <c r="B616" s="8" t="s">
        <v>1545</v>
      </c>
      <c r="C616" s="41" t="str">
        <f>VLOOKUP(B616,'Project Resource Master'!C:N,5,0)</f>
        <v>Cement OPC 53 Grade</v>
      </c>
      <c r="D616" s="50">
        <v>5</v>
      </c>
      <c r="E616" s="50">
        <v>1</v>
      </c>
      <c r="F616" s="50">
        <v>1</v>
      </c>
      <c r="G616" s="50">
        <v>1</v>
      </c>
      <c r="H616" s="50">
        <v>1</v>
      </c>
      <c r="I616" s="50">
        <v>1</v>
      </c>
      <c r="J616" s="50">
        <f>PRODUCT(D616:I616)</f>
        <v>5</v>
      </c>
      <c r="K616" s="41" t="str">
        <f>VLOOKUP(B616,'Project Resource Master'!C:N,6,0)</f>
        <v>bag</v>
      </c>
      <c r="L616" s="50">
        <f>VLOOKUP(B616,'Project Resource Master'!C:N,11,0)</f>
        <v>0.05</v>
      </c>
      <c r="M616" s="50">
        <f>J616*L616</f>
        <v>0.25</v>
      </c>
      <c r="N616" s="50">
        <f>+J616+M616</f>
        <v>5.25</v>
      </c>
      <c r="O616" s="50">
        <f>VLOOKUP(B616,'Project Resource Master'!C:N,12,0)</f>
        <v>50</v>
      </c>
      <c r="P616" s="50">
        <f>+O616*N616</f>
        <v>262.5</v>
      </c>
      <c r="Q616" s="50">
        <f>+N616*B612</f>
        <v>2100</v>
      </c>
      <c r="R616" s="50">
        <f>Q616*O616</f>
        <v>105000</v>
      </c>
    </row>
    <row r="617" spans="1:18" x14ac:dyDescent="0.35">
      <c r="A617" s="26">
        <v>2</v>
      </c>
      <c r="B617" s="8" t="s">
        <v>1540</v>
      </c>
      <c r="C617" s="41" t="str">
        <f>VLOOKUP(B617,'Project Resource Master'!C:N,5,0)</f>
        <v>M-Sand Grade A</v>
      </c>
      <c r="D617" s="50">
        <v>1</v>
      </c>
      <c r="E617" s="50">
        <v>1</v>
      </c>
      <c r="F617" s="50">
        <v>1</v>
      </c>
      <c r="G617" s="50">
        <v>1</v>
      </c>
      <c r="H617" s="50">
        <v>1</v>
      </c>
      <c r="I617" s="50">
        <v>1</v>
      </c>
      <c r="J617" s="50">
        <f>PRODUCT(D617:I617)</f>
        <v>1</v>
      </c>
      <c r="K617" s="41" t="str">
        <f>VLOOKUP(B617,'Project Resource Master'!C:N,6,0)</f>
        <v>unit</v>
      </c>
      <c r="L617" s="50">
        <f>VLOOKUP(B617,'Project Resource Master'!C:N,11,0)</f>
        <v>0.1</v>
      </c>
      <c r="M617" s="50">
        <f>J617*L617</f>
        <v>0.1</v>
      </c>
      <c r="N617" s="50">
        <f>+J617+M617</f>
        <v>1.1000000000000001</v>
      </c>
      <c r="O617" s="50">
        <f>VLOOKUP(B617,'Project Resource Master'!C:N,12,0)</f>
        <v>50</v>
      </c>
      <c r="P617" s="50">
        <f>+O617*N617</f>
        <v>55.000000000000007</v>
      </c>
      <c r="Q617" s="50">
        <f>+N617*B612</f>
        <v>440.00000000000006</v>
      </c>
      <c r="R617" s="50">
        <f>Q617*O617</f>
        <v>22000.000000000004</v>
      </c>
    </row>
    <row r="618" spans="1:18" x14ac:dyDescent="0.35">
      <c r="A618" s="26">
        <v>3</v>
      </c>
      <c r="B618" s="8" t="s">
        <v>1541</v>
      </c>
      <c r="C618" s="41" t="str">
        <f>VLOOKUP(B618,'Project Resource Master'!C:N,5,0)</f>
        <v>Water - Grade A</v>
      </c>
      <c r="D618" s="50">
        <v>10</v>
      </c>
      <c r="E618" s="50">
        <v>1</v>
      </c>
      <c r="F618" s="50">
        <v>1</v>
      </c>
      <c r="G618" s="50">
        <v>1</v>
      </c>
      <c r="H618" s="50">
        <v>1</v>
      </c>
      <c r="I618" s="50">
        <v>1</v>
      </c>
      <c r="J618" s="50">
        <f>PRODUCT(D618:I618)</f>
        <v>10</v>
      </c>
      <c r="K618" s="41" t="str">
        <f>VLOOKUP(B618,'Project Resource Master'!C:N,6,0)</f>
        <v>ltr</v>
      </c>
      <c r="L618" s="50">
        <f>VLOOKUP(B618,'Project Resource Master'!C:N,11,0)</f>
        <v>0.05</v>
      </c>
      <c r="M618" s="50">
        <f>J618*L618</f>
        <v>0.5</v>
      </c>
      <c r="N618" s="50">
        <f>+J618+M618</f>
        <v>10.5</v>
      </c>
      <c r="O618" s="50">
        <f>VLOOKUP(B618,'Project Resource Master'!C:N,12,0)</f>
        <v>50</v>
      </c>
      <c r="P618" s="50">
        <f>+O618*N618</f>
        <v>525</v>
      </c>
      <c r="Q618" s="50">
        <f>+N618*B612</f>
        <v>4200</v>
      </c>
      <c r="R618" s="50">
        <f>Q618*O618</f>
        <v>210000</v>
      </c>
    </row>
    <row r="619" spans="1:18" x14ac:dyDescent="0.35">
      <c r="A619" s="26">
        <v>4</v>
      </c>
      <c r="B619" s="8" t="s">
        <v>1490</v>
      </c>
      <c r="C619" s="41" t="str">
        <f>VLOOKUP(B619,'Project Resource Master'!C:N,5,0)</f>
        <v>Concrete Mason</v>
      </c>
      <c r="D619" s="50">
        <v>5</v>
      </c>
      <c r="E619" s="50">
        <v>1</v>
      </c>
      <c r="F619" s="50">
        <v>1</v>
      </c>
      <c r="G619" s="50">
        <v>1</v>
      </c>
      <c r="H619" s="50">
        <v>1</v>
      </c>
      <c r="I619" s="50">
        <v>1</v>
      </c>
      <c r="J619" s="50">
        <f>PRODUCT(D619:I619)</f>
        <v>5</v>
      </c>
      <c r="K619" s="41" t="str">
        <f>VLOOKUP(B619,'Project Resource Master'!C:N,6,0)</f>
        <v>hr</v>
      </c>
      <c r="L619" s="50">
        <f>VLOOKUP(B619,'Project Resource Master'!C:N,11,0)</f>
        <v>0.1</v>
      </c>
      <c r="M619" s="50">
        <f>J619*L619</f>
        <v>0.5</v>
      </c>
      <c r="N619" s="50">
        <f>+J619+M619</f>
        <v>5.5</v>
      </c>
      <c r="O619" s="50">
        <f>VLOOKUP(B619,'Project Resource Master'!C:N,12,0)</f>
        <v>100</v>
      </c>
      <c r="P619" s="50">
        <f>+O619*N619</f>
        <v>550</v>
      </c>
      <c r="Q619" s="50">
        <f>+N619*B612</f>
        <v>2200</v>
      </c>
      <c r="R619" s="50">
        <f>Q619*O619</f>
        <v>220000</v>
      </c>
    </row>
    <row r="620" spans="1:18" x14ac:dyDescent="0.35">
      <c r="A620" s="26">
        <v>5</v>
      </c>
      <c r="B620" s="8" t="s">
        <v>1491</v>
      </c>
      <c r="C620" s="41" t="str">
        <f>VLOOKUP(B620,'Project Resource Master'!C:N,5,0)</f>
        <v>Helper</v>
      </c>
      <c r="D620" s="50">
        <v>5</v>
      </c>
      <c r="E620" s="50">
        <v>1</v>
      </c>
      <c r="F620" s="50">
        <v>1</v>
      </c>
      <c r="G620" s="50">
        <v>1</v>
      </c>
      <c r="H620" s="50">
        <v>1</v>
      </c>
      <c r="I620" s="50">
        <v>1</v>
      </c>
      <c r="J620" s="50">
        <f>PRODUCT(D620:I620)</f>
        <v>5</v>
      </c>
      <c r="K620" s="41" t="str">
        <f>VLOOKUP(B620,'Project Resource Master'!C:N,6,0)</f>
        <v>hr</v>
      </c>
      <c r="L620" s="50">
        <f>VLOOKUP(B620,'Project Resource Master'!C:N,11,0)</f>
        <v>0.05</v>
      </c>
      <c r="M620" s="50">
        <f>J620*L620</f>
        <v>0.25</v>
      </c>
      <c r="N620" s="50">
        <f>+J620+M620</f>
        <v>5.25</v>
      </c>
      <c r="O620" s="50">
        <f>VLOOKUP(B620,'Project Resource Master'!C:N,12,0)</f>
        <v>50</v>
      </c>
      <c r="P620" s="50">
        <f>+O620*N620</f>
        <v>262.5</v>
      </c>
      <c r="Q620" s="50">
        <f>+N620*B612</f>
        <v>2100</v>
      </c>
      <c r="R620" s="50">
        <f>Q620*O620</f>
        <v>105000</v>
      </c>
    </row>
    <row r="621" spans="1:18" x14ac:dyDescent="0.35">
      <c r="A621" s="27"/>
      <c r="B621" s="41"/>
      <c r="C621" s="41"/>
      <c r="D621" s="50"/>
      <c r="E621" s="50"/>
      <c r="F621" s="50"/>
      <c r="G621" s="50"/>
      <c r="H621" s="50"/>
      <c r="I621" s="50"/>
      <c r="J621" s="50"/>
      <c r="K621" s="41"/>
      <c r="L621" s="50"/>
      <c r="M621" s="50"/>
      <c r="N621" s="50"/>
      <c r="O621" s="50"/>
      <c r="P621" s="50"/>
      <c r="Q621" s="50"/>
      <c r="R621" s="50"/>
    </row>
    <row r="622" spans="1:18" s="14" customFormat="1" x14ac:dyDescent="0.35">
      <c r="A622" s="29" t="str">
        <f>B610</f>
        <v>3c</v>
      </c>
      <c r="B622" s="7"/>
      <c r="C622" s="7" t="s">
        <v>1485</v>
      </c>
      <c r="D622" s="51"/>
      <c r="E622" s="51"/>
      <c r="F622" s="51"/>
      <c r="G622" s="51"/>
      <c r="H622" s="51"/>
      <c r="I622" s="51"/>
      <c r="J622" s="51"/>
      <c r="K622" s="7"/>
      <c r="L622" s="51"/>
      <c r="M622" s="51"/>
      <c r="N622" s="51"/>
      <c r="O622" s="51"/>
      <c r="P622" s="51">
        <f>SUM(P615:P621)</f>
        <v>1655</v>
      </c>
      <c r="Q622" s="51"/>
      <c r="R622" s="51">
        <f>SUM(R615:R621)</f>
        <v>662000</v>
      </c>
    </row>
    <row r="625" spans="1:18" x14ac:dyDescent="0.35">
      <c r="A625" s="29" t="s">
        <v>1348</v>
      </c>
      <c r="B625" s="49" t="s">
        <v>1392</v>
      </c>
      <c r="C625" s="41"/>
      <c r="D625" s="50"/>
      <c r="E625" s="50"/>
      <c r="F625" s="50"/>
      <c r="G625" s="50"/>
      <c r="H625" s="50"/>
      <c r="I625" s="50"/>
      <c r="J625" s="50"/>
      <c r="K625" s="41"/>
      <c r="L625" s="50"/>
      <c r="M625" s="50"/>
      <c r="N625" s="50"/>
      <c r="O625" s="50"/>
      <c r="P625" s="50"/>
      <c r="Q625" s="50"/>
      <c r="R625" s="50"/>
    </row>
    <row r="626" spans="1:18" ht="29" x14ac:dyDescent="0.35">
      <c r="A626" s="29" t="s">
        <v>1450</v>
      </c>
      <c r="B626" s="49" t="str">
        <f>VLOOKUP(B625,'Working BOQ'!A:K,9,0)</f>
        <v>Column Plastering</v>
      </c>
      <c r="C626" s="41"/>
      <c r="D626" s="50"/>
      <c r="E626" s="50"/>
      <c r="F626" s="50"/>
      <c r="G626" s="50"/>
      <c r="H626" s="50"/>
      <c r="I626" s="50"/>
      <c r="J626" s="50"/>
      <c r="K626" s="41"/>
      <c r="L626" s="50"/>
      <c r="M626" s="50"/>
      <c r="N626" s="50"/>
      <c r="O626" s="50"/>
      <c r="P626" s="50"/>
      <c r="Q626" s="50"/>
      <c r="R626" s="50"/>
    </row>
    <row r="627" spans="1:18" x14ac:dyDescent="0.35">
      <c r="A627" s="29" t="s">
        <v>1451</v>
      </c>
      <c r="B627" s="49">
        <f>VLOOKUP(B625,'Working BOQ'!A:N,14,0)</f>
        <v>6000</v>
      </c>
      <c r="C627" s="41"/>
      <c r="D627" s="50"/>
      <c r="E627" s="50"/>
      <c r="F627" s="50"/>
      <c r="G627" s="50"/>
      <c r="H627" s="50"/>
      <c r="I627" s="50"/>
      <c r="J627" s="50"/>
      <c r="K627" s="41"/>
      <c r="L627" s="50"/>
      <c r="M627" s="50"/>
      <c r="N627" s="50"/>
      <c r="O627" s="50"/>
      <c r="P627" s="50"/>
      <c r="Q627" s="50"/>
      <c r="R627" s="50"/>
    </row>
    <row r="628" spans="1:18" x14ac:dyDescent="0.35">
      <c r="A628" s="29" t="s">
        <v>1</v>
      </c>
      <c r="B628" s="49" t="str">
        <f>VLOOKUP(B625,'Working BOQ'!A:K,11,0)</f>
        <v>sqm</v>
      </c>
      <c r="C628" s="41"/>
      <c r="D628" s="50"/>
      <c r="E628" s="50"/>
      <c r="F628" s="50"/>
      <c r="G628" s="50"/>
      <c r="H628" s="50"/>
      <c r="I628" s="50"/>
      <c r="J628" s="50"/>
      <c r="K628" s="41"/>
      <c r="L628" s="50"/>
      <c r="M628" s="50"/>
      <c r="N628" s="50"/>
      <c r="O628" s="50"/>
      <c r="P628" s="50"/>
      <c r="Q628" s="50"/>
      <c r="R628" s="50"/>
    </row>
    <row r="629" spans="1:18" s="6" customFormat="1" x14ac:dyDescent="0.35">
      <c r="A629" s="24" t="s">
        <v>110</v>
      </c>
      <c r="B629" s="5" t="s">
        <v>112</v>
      </c>
      <c r="C629" s="5" t="s">
        <v>111</v>
      </c>
      <c r="D629" s="16" t="s">
        <v>1200</v>
      </c>
      <c r="E629" s="16" t="s">
        <v>1200</v>
      </c>
      <c r="F629" s="16" t="s">
        <v>1452</v>
      </c>
      <c r="G629" s="16" t="s">
        <v>1453</v>
      </c>
      <c r="H629" s="16" t="s">
        <v>1454</v>
      </c>
      <c r="I629" s="16" t="s">
        <v>1455</v>
      </c>
      <c r="J629" s="16" t="s">
        <v>3</v>
      </c>
      <c r="K629" s="5" t="s">
        <v>1</v>
      </c>
      <c r="L629" s="16" t="s">
        <v>1456</v>
      </c>
      <c r="M629" s="16" t="s">
        <v>1457</v>
      </c>
      <c r="N629" s="16" t="s">
        <v>1458</v>
      </c>
      <c r="O629" s="16" t="s">
        <v>1459</v>
      </c>
      <c r="P629" s="16" t="s">
        <v>1122</v>
      </c>
      <c r="Q629" s="16" t="s">
        <v>1486</v>
      </c>
      <c r="R629" s="16" t="s">
        <v>1498</v>
      </c>
    </row>
    <row r="630" spans="1:18" x14ac:dyDescent="0.35">
      <c r="A630" s="27"/>
      <c r="B630" s="41"/>
      <c r="C630" s="41"/>
      <c r="D630" s="50"/>
      <c r="E630" s="50"/>
      <c r="F630" s="50"/>
      <c r="G630" s="50"/>
      <c r="H630" s="50"/>
      <c r="I630" s="50"/>
      <c r="J630" s="50"/>
      <c r="K630" s="41"/>
      <c r="L630" s="50"/>
      <c r="M630" s="50"/>
      <c r="N630" s="50"/>
      <c r="O630" s="50"/>
      <c r="P630" s="50"/>
      <c r="Q630" s="50"/>
      <c r="R630" s="50"/>
    </row>
    <row r="631" spans="1:18" x14ac:dyDescent="0.35">
      <c r="A631" s="26">
        <v>1</v>
      </c>
      <c r="B631" s="8" t="s">
        <v>1539</v>
      </c>
      <c r="C631" s="41" t="str">
        <f>VLOOKUP(B631,'Project Resource Master'!C:N,5,0)</f>
        <v>Cement OPC 43 Grade</v>
      </c>
      <c r="D631" s="50">
        <v>5</v>
      </c>
      <c r="E631" s="50">
        <v>1</v>
      </c>
      <c r="F631" s="50">
        <v>1</v>
      </c>
      <c r="G631" s="50">
        <v>1</v>
      </c>
      <c r="H631" s="50">
        <v>1</v>
      </c>
      <c r="I631" s="50">
        <v>1</v>
      </c>
      <c r="J631" s="50">
        <f>PRODUCT(D631:I631)</f>
        <v>5</v>
      </c>
      <c r="K631" s="41" t="str">
        <f>VLOOKUP(B631,'Project Resource Master'!C:N,6,0)</f>
        <v>bag</v>
      </c>
      <c r="L631" s="50">
        <f>VLOOKUP(B631,'Project Resource Master'!C:N,11,0)</f>
        <v>0.1</v>
      </c>
      <c r="M631" s="50">
        <f>J631*L631</f>
        <v>0.5</v>
      </c>
      <c r="N631" s="50">
        <f>+J631+M631</f>
        <v>5.5</v>
      </c>
      <c r="O631" s="50">
        <f>VLOOKUP(B631,'Project Resource Master'!C:N,12,0)</f>
        <v>50</v>
      </c>
      <c r="P631" s="50">
        <f>+O631*N631</f>
        <v>275</v>
      </c>
      <c r="Q631" s="50">
        <f>+N631*B627</f>
        <v>33000</v>
      </c>
      <c r="R631" s="50">
        <f>Q631*O631</f>
        <v>1650000</v>
      </c>
    </row>
    <row r="632" spans="1:18" x14ac:dyDescent="0.35">
      <c r="A632" s="26">
        <v>2</v>
      </c>
      <c r="B632" s="8" t="s">
        <v>1556</v>
      </c>
      <c r="C632" s="41" t="str">
        <f>VLOOKUP(B632,'Project Resource Master'!C:N,5,0)</f>
        <v>P-Sand Grade A</v>
      </c>
      <c r="D632" s="50">
        <v>1</v>
      </c>
      <c r="E632" s="50">
        <v>1</v>
      </c>
      <c r="F632" s="50">
        <v>1</v>
      </c>
      <c r="G632" s="50">
        <v>1</v>
      </c>
      <c r="H632" s="50">
        <v>1</v>
      </c>
      <c r="I632" s="50">
        <v>1</v>
      </c>
      <c r="J632" s="50">
        <f>PRODUCT(D632:I632)</f>
        <v>1</v>
      </c>
      <c r="K632" s="41" t="str">
        <f>VLOOKUP(B632,'Project Resource Master'!C:N,6,0)</f>
        <v>unit</v>
      </c>
      <c r="L632" s="50">
        <f>VLOOKUP(B632,'Project Resource Master'!C:N,11,0)</f>
        <v>0.05</v>
      </c>
      <c r="M632" s="50">
        <f>J632*L632</f>
        <v>0.05</v>
      </c>
      <c r="N632" s="50">
        <f>+J632+M632</f>
        <v>1.05</v>
      </c>
      <c r="O632" s="50">
        <f>VLOOKUP(B632,'Project Resource Master'!C:N,12,0)</f>
        <v>50</v>
      </c>
      <c r="P632" s="50">
        <f>+O632*N632</f>
        <v>52.5</v>
      </c>
      <c r="Q632" s="50">
        <f>+N632*B627</f>
        <v>6300</v>
      </c>
      <c r="R632" s="50">
        <f>Q632*O632</f>
        <v>315000</v>
      </c>
    </row>
    <row r="633" spans="1:18" x14ac:dyDescent="0.35">
      <c r="A633" s="26">
        <v>3</v>
      </c>
      <c r="B633" s="8" t="s">
        <v>1541</v>
      </c>
      <c r="C633" s="41" t="str">
        <f>VLOOKUP(B633,'Project Resource Master'!C:N,5,0)</f>
        <v>Water - Grade A</v>
      </c>
      <c r="D633" s="50">
        <v>10</v>
      </c>
      <c r="E633" s="50">
        <v>1</v>
      </c>
      <c r="F633" s="50">
        <v>1</v>
      </c>
      <c r="G633" s="50">
        <v>1</v>
      </c>
      <c r="H633" s="50">
        <v>1</v>
      </c>
      <c r="I633" s="50">
        <v>1</v>
      </c>
      <c r="J633" s="50">
        <f>PRODUCT(D633:I633)</f>
        <v>10</v>
      </c>
      <c r="K633" s="41" t="str">
        <f>VLOOKUP(B633,'Project Resource Master'!C:N,6,0)</f>
        <v>ltr</v>
      </c>
      <c r="L633" s="50">
        <f>VLOOKUP(B633,'Project Resource Master'!C:N,11,0)</f>
        <v>0.05</v>
      </c>
      <c r="M633" s="50">
        <f>J633*L633</f>
        <v>0.5</v>
      </c>
      <c r="N633" s="50">
        <f>+J633+M633</f>
        <v>10.5</v>
      </c>
      <c r="O633" s="50">
        <f>VLOOKUP(B633,'Project Resource Master'!C:N,12,0)</f>
        <v>50</v>
      </c>
      <c r="P633" s="50">
        <f>+O633*N633</f>
        <v>525</v>
      </c>
      <c r="Q633" s="50">
        <f>+N633*B627</f>
        <v>63000</v>
      </c>
      <c r="R633" s="50">
        <f>Q633*O633</f>
        <v>3150000</v>
      </c>
    </row>
    <row r="634" spans="1:18" x14ac:dyDescent="0.35">
      <c r="A634" s="26">
        <v>4</v>
      </c>
      <c r="B634" s="8" t="s">
        <v>1489</v>
      </c>
      <c r="C634" s="41" t="str">
        <f>VLOOKUP(B634,'Project Resource Master'!C:N,5,0)</f>
        <v>Plastering Mason</v>
      </c>
      <c r="D634" s="50">
        <v>5</v>
      </c>
      <c r="E634" s="50">
        <v>1</v>
      </c>
      <c r="F634" s="50">
        <v>1</v>
      </c>
      <c r="G634" s="50">
        <v>1</v>
      </c>
      <c r="H634" s="50">
        <v>1</v>
      </c>
      <c r="I634" s="50">
        <v>1</v>
      </c>
      <c r="J634" s="50">
        <f>PRODUCT(D634:I634)</f>
        <v>5</v>
      </c>
      <c r="K634" s="41" t="str">
        <f>VLOOKUP(B634,'Project Resource Master'!C:N,6,0)</f>
        <v>hr</v>
      </c>
      <c r="L634" s="50">
        <f>VLOOKUP(B634,'Project Resource Master'!C:N,11,0)</f>
        <v>0.05</v>
      </c>
      <c r="M634" s="50">
        <f>J634*L634</f>
        <v>0.25</v>
      </c>
      <c r="N634" s="50">
        <f>+J634+M634</f>
        <v>5.25</v>
      </c>
      <c r="O634" s="50">
        <f>VLOOKUP(B634,'Project Resource Master'!C:N,12,0)</f>
        <v>50</v>
      </c>
      <c r="P634" s="50">
        <f>+O634*N634</f>
        <v>262.5</v>
      </c>
      <c r="Q634" s="50">
        <f>+N634*B627</f>
        <v>31500</v>
      </c>
      <c r="R634" s="50">
        <f>Q634*O634</f>
        <v>1575000</v>
      </c>
    </row>
    <row r="635" spans="1:18" x14ac:dyDescent="0.35">
      <c r="A635" s="26">
        <v>5</v>
      </c>
      <c r="B635" s="8" t="s">
        <v>1491</v>
      </c>
      <c r="C635" s="41" t="str">
        <f>VLOOKUP(B635,'Project Resource Master'!C:N,5,0)</f>
        <v>Helper</v>
      </c>
      <c r="D635" s="50">
        <v>5</v>
      </c>
      <c r="E635" s="50">
        <v>1</v>
      </c>
      <c r="F635" s="50">
        <v>1</v>
      </c>
      <c r="G635" s="50">
        <v>1</v>
      </c>
      <c r="H635" s="50">
        <v>1</v>
      </c>
      <c r="I635" s="50">
        <v>1</v>
      </c>
      <c r="J635" s="50">
        <f>PRODUCT(D635:I635)</f>
        <v>5</v>
      </c>
      <c r="K635" s="41" t="str">
        <f>VLOOKUP(B635,'Project Resource Master'!C:N,6,0)</f>
        <v>hr</v>
      </c>
      <c r="L635" s="50">
        <f>VLOOKUP(B635,'Project Resource Master'!C:N,11,0)</f>
        <v>0.05</v>
      </c>
      <c r="M635" s="50">
        <f>J635*L635</f>
        <v>0.25</v>
      </c>
      <c r="N635" s="50">
        <f>+J635+M635</f>
        <v>5.25</v>
      </c>
      <c r="O635" s="50">
        <f>VLOOKUP(B635,'Project Resource Master'!C:N,12,0)</f>
        <v>50</v>
      </c>
      <c r="P635" s="50">
        <f>+O635*N635</f>
        <v>262.5</v>
      </c>
      <c r="Q635" s="50">
        <f>+N635*B627</f>
        <v>31500</v>
      </c>
      <c r="R635" s="50">
        <f>Q635*O635</f>
        <v>1575000</v>
      </c>
    </row>
    <row r="636" spans="1:18" x14ac:dyDescent="0.35">
      <c r="A636" s="27"/>
      <c r="B636" s="41"/>
      <c r="C636" s="41"/>
      <c r="D636" s="50"/>
      <c r="E636" s="50"/>
      <c r="F636" s="50"/>
      <c r="G636" s="50"/>
      <c r="H636" s="50"/>
      <c r="I636" s="50"/>
      <c r="J636" s="50"/>
      <c r="K636" s="41"/>
      <c r="L636" s="50"/>
      <c r="M636" s="50"/>
      <c r="N636" s="50"/>
      <c r="O636" s="50"/>
      <c r="P636" s="50"/>
      <c r="Q636" s="50"/>
      <c r="R636" s="50"/>
    </row>
    <row r="637" spans="1:18" s="14" customFormat="1" x14ac:dyDescent="0.35">
      <c r="A637" s="29" t="str">
        <f>B625</f>
        <v>4a</v>
      </c>
      <c r="B637" s="7"/>
      <c r="C637" s="7" t="s">
        <v>1485</v>
      </c>
      <c r="D637" s="51"/>
      <c r="E637" s="51"/>
      <c r="F637" s="51"/>
      <c r="G637" s="51"/>
      <c r="H637" s="51"/>
      <c r="I637" s="51"/>
      <c r="J637" s="51"/>
      <c r="K637" s="7"/>
      <c r="L637" s="51"/>
      <c r="M637" s="51"/>
      <c r="N637" s="51"/>
      <c r="O637" s="51"/>
      <c r="P637" s="51">
        <f>SUM(P630:P636)</f>
        <v>1377.5</v>
      </c>
      <c r="Q637" s="51"/>
      <c r="R637" s="51">
        <f>SUM(R630:R636)</f>
        <v>8265000</v>
      </c>
    </row>
    <row r="640" spans="1:18" x14ac:dyDescent="0.35">
      <c r="A640" s="29" t="s">
        <v>1348</v>
      </c>
      <c r="B640" s="49" t="s">
        <v>1393</v>
      </c>
      <c r="C640" s="41"/>
      <c r="D640" s="50"/>
      <c r="E640" s="50"/>
      <c r="F640" s="50"/>
      <c r="G640" s="50"/>
      <c r="H640" s="50"/>
      <c r="I640" s="50"/>
      <c r="J640" s="50"/>
      <c r="K640" s="41"/>
      <c r="L640" s="50"/>
      <c r="M640" s="50"/>
      <c r="N640" s="50"/>
      <c r="O640" s="50"/>
      <c r="P640" s="50"/>
      <c r="Q640" s="50"/>
      <c r="R640" s="50"/>
    </row>
    <row r="641" spans="1:18" ht="29" x14ac:dyDescent="0.35">
      <c r="A641" s="29" t="s">
        <v>1450</v>
      </c>
      <c r="B641" s="49" t="str">
        <f>VLOOKUP(B640,'Working BOQ'!A:K,9,0)</f>
        <v>Beam Plastering</v>
      </c>
      <c r="C641" s="41"/>
      <c r="D641" s="50"/>
      <c r="E641" s="50"/>
      <c r="F641" s="50"/>
      <c r="G641" s="50"/>
      <c r="H641" s="50"/>
      <c r="I641" s="50"/>
      <c r="J641" s="50"/>
      <c r="K641" s="41"/>
      <c r="L641" s="50"/>
      <c r="M641" s="50"/>
      <c r="N641" s="50"/>
      <c r="O641" s="50"/>
      <c r="P641" s="50"/>
      <c r="Q641" s="50"/>
      <c r="R641" s="50"/>
    </row>
    <row r="642" spans="1:18" x14ac:dyDescent="0.35">
      <c r="A642" s="29" t="s">
        <v>1451</v>
      </c>
      <c r="B642" s="49">
        <f>VLOOKUP(B640,'Working BOQ'!A:N,14,0)</f>
        <v>3000</v>
      </c>
      <c r="C642" s="41"/>
      <c r="D642" s="50"/>
      <c r="E642" s="50"/>
      <c r="F642" s="50"/>
      <c r="G642" s="50"/>
      <c r="H642" s="50"/>
      <c r="I642" s="50"/>
      <c r="J642" s="50"/>
      <c r="K642" s="41"/>
      <c r="L642" s="50"/>
      <c r="M642" s="50"/>
      <c r="N642" s="50"/>
      <c r="O642" s="50"/>
      <c r="P642" s="50"/>
      <c r="Q642" s="50"/>
      <c r="R642" s="50"/>
    </row>
    <row r="643" spans="1:18" x14ac:dyDescent="0.35">
      <c r="A643" s="29" t="s">
        <v>1</v>
      </c>
      <c r="B643" s="49" t="str">
        <f>VLOOKUP(B640,'Working BOQ'!A:K,11,0)</f>
        <v>sqm</v>
      </c>
      <c r="C643" s="41"/>
      <c r="D643" s="50"/>
      <c r="E643" s="50"/>
      <c r="F643" s="50"/>
      <c r="G643" s="50"/>
      <c r="H643" s="50"/>
      <c r="I643" s="50"/>
      <c r="J643" s="50"/>
      <c r="K643" s="41"/>
      <c r="L643" s="50"/>
      <c r="M643" s="50"/>
      <c r="N643" s="50"/>
      <c r="O643" s="50"/>
      <c r="P643" s="50"/>
      <c r="Q643" s="50"/>
      <c r="R643" s="50"/>
    </row>
    <row r="644" spans="1:18" s="6" customFormat="1" x14ac:dyDescent="0.35">
      <c r="A644" s="24" t="s">
        <v>110</v>
      </c>
      <c r="B644" s="5" t="s">
        <v>112</v>
      </c>
      <c r="C644" s="5" t="s">
        <v>111</v>
      </c>
      <c r="D644" s="16" t="s">
        <v>1200</v>
      </c>
      <c r="E644" s="16" t="s">
        <v>1200</v>
      </c>
      <c r="F644" s="16" t="s">
        <v>1452</v>
      </c>
      <c r="G644" s="16" t="s">
        <v>1453</v>
      </c>
      <c r="H644" s="16" t="s">
        <v>1454</v>
      </c>
      <c r="I644" s="16" t="s">
        <v>1455</v>
      </c>
      <c r="J644" s="16" t="s">
        <v>3</v>
      </c>
      <c r="K644" s="5" t="s">
        <v>1</v>
      </c>
      <c r="L644" s="16" t="s">
        <v>1456</v>
      </c>
      <c r="M644" s="16" t="s">
        <v>1457</v>
      </c>
      <c r="N644" s="16" t="s">
        <v>1458</v>
      </c>
      <c r="O644" s="16" t="s">
        <v>1459</v>
      </c>
      <c r="P644" s="16" t="s">
        <v>1122</v>
      </c>
      <c r="Q644" s="16" t="s">
        <v>1486</v>
      </c>
      <c r="R644" s="16" t="s">
        <v>1498</v>
      </c>
    </row>
    <row r="645" spans="1:18" x14ac:dyDescent="0.35">
      <c r="A645" s="27"/>
      <c r="B645" s="41"/>
      <c r="C645" s="41"/>
      <c r="D645" s="50"/>
      <c r="E645" s="50"/>
      <c r="F645" s="50"/>
      <c r="G645" s="50"/>
      <c r="H645" s="50"/>
      <c r="I645" s="50"/>
      <c r="J645" s="50"/>
      <c r="K645" s="41"/>
      <c r="L645" s="50"/>
      <c r="M645" s="50"/>
      <c r="N645" s="50"/>
      <c r="O645" s="50"/>
      <c r="P645" s="50"/>
      <c r="Q645" s="50"/>
      <c r="R645" s="50"/>
    </row>
    <row r="646" spans="1:18" x14ac:dyDescent="0.35">
      <c r="A646" s="26">
        <v>1</v>
      </c>
      <c r="B646" s="8" t="s">
        <v>1539</v>
      </c>
      <c r="C646" s="41" t="str">
        <f>VLOOKUP(B646,'Project Resource Master'!C:N,5,0)</f>
        <v>Cement OPC 43 Grade</v>
      </c>
      <c r="D646" s="50">
        <v>5</v>
      </c>
      <c r="E646" s="50">
        <v>1</v>
      </c>
      <c r="F646" s="50">
        <v>1</v>
      </c>
      <c r="G646" s="50">
        <v>1</v>
      </c>
      <c r="H646" s="50">
        <v>1</v>
      </c>
      <c r="I646" s="50">
        <v>1</v>
      </c>
      <c r="J646" s="50">
        <f>PRODUCT(D646:I646)</f>
        <v>5</v>
      </c>
      <c r="K646" s="41" t="str">
        <f>VLOOKUP(B646,'Project Resource Master'!C:N,6,0)</f>
        <v>bag</v>
      </c>
      <c r="L646" s="50">
        <f>VLOOKUP(B646,'Project Resource Master'!C:N,11,0)</f>
        <v>0.1</v>
      </c>
      <c r="M646" s="50">
        <f>J646*L646</f>
        <v>0.5</v>
      </c>
      <c r="N646" s="50">
        <f>+J646+M646</f>
        <v>5.5</v>
      </c>
      <c r="O646" s="50">
        <f>VLOOKUP(B646,'Project Resource Master'!C:N,12,0)</f>
        <v>50</v>
      </c>
      <c r="P646" s="50">
        <f>+O646*N646</f>
        <v>275</v>
      </c>
      <c r="Q646" s="50">
        <f>+N646*B642</f>
        <v>16500</v>
      </c>
      <c r="R646" s="50">
        <f>Q646*O646</f>
        <v>825000</v>
      </c>
    </row>
    <row r="647" spans="1:18" x14ac:dyDescent="0.35">
      <c r="A647" s="26">
        <v>2</v>
      </c>
      <c r="B647" s="8" t="s">
        <v>1556</v>
      </c>
      <c r="C647" s="41" t="str">
        <f>VLOOKUP(B647,'Project Resource Master'!C:N,5,0)</f>
        <v>P-Sand Grade A</v>
      </c>
      <c r="D647" s="50">
        <v>1</v>
      </c>
      <c r="E647" s="50">
        <v>1</v>
      </c>
      <c r="F647" s="50">
        <v>1</v>
      </c>
      <c r="G647" s="50">
        <v>1</v>
      </c>
      <c r="H647" s="50">
        <v>1</v>
      </c>
      <c r="I647" s="50">
        <v>1</v>
      </c>
      <c r="J647" s="50">
        <f>PRODUCT(D647:I647)</f>
        <v>1</v>
      </c>
      <c r="K647" s="41" t="str">
        <f>VLOOKUP(B647,'Project Resource Master'!C:N,6,0)</f>
        <v>unit</v>
      </c>
      <c r="L647" s="50">
        <f>VLOOKUP(B647,'Project Resource Master'!C:N,11,0)</f>
        <v>0.05</v>
      </c>
      <c r="M647" s="50">
        <f>J647*L647</f>
        <v>0.05</v>
      </c>
      <c r="N647" s="50">
        <f>+J647+M647</f>
        <v>1.05</v>
      </c>
      <c r="O647" s="50">
        <f>VLOOKUP(B647,'Project Resource Master'!C:N,12,0)</f>
        <v>50</v>
      </c>
      <c r="P647" s="50">
        <f>+O647*N647</f>
        <v>52.5</v>
      </c>
      <c r="Q647" s="50">
        <f>+N647*B642</f>
        <v>3150</v>
      </c>
      <c r="R647" s="50">
        <f>Q647*O647</f>
        <v>157500</v>
      </c>
    </row>
    <row r="648" spans="1:18" x14ac:dyDescent="0.35">
      <c r="A648" s="26">
        <v>3</v>
      </c>
      <c r="B648" s="8" t="s">
        <v>1541</v>
      </c>
      <c r="C648" s="41" t="str">
        <f>VLOOKUP(B648,'Project Resource Master'!C:N,5,0)</f>
        <v>Water - Grade A</v>
      </c>
      <c r="D648" s="50">
        <v>10</v>
      </c>
      <c r="E648" s="50">
        <v>1</v>
      </c>
      <c r="F648" s="50">
        <v>1</v>
      </c>
      <c r="G648" s="50">
        <v>1</v>
      </c>
      <c r="H648" s="50">
        <v>1</v>
      </c>
      <c r="I648" s="50">
        <v>1</v>
      </c>
      <c r="J648" s="50">
        <f>PRODUCT(D648:I648)</f>
        <v>10</v>
      </c>
      <c r="K648" s="41" t="str">
        <f>VLOOKUP(B648,'Project Resource Master'!C:N,6,0)</f>
        <v>ltr</v>
      </c>
      <c r="L648" s="50">
        <f>VLOOKUP(B648,'Project Resource Master'!C:N,11,0)</f>
        <v>0.05</v>
      </c>
      <c r="M648" s="50">
        <f>J648*L648</f>
        <v>0.5</v>
      </c>
      <c r="N648" s="50">
        <f>+J648+M648</f>
        <v>10.5</v>
      </c>
      <c r="O648" s="50">
        <f>VLOOKUP(B648,'Project Resource Master'!C:N,12,0)</f>
        <v>50</v>
      </c>
      <c r="P648" s="50">
        <f>+O648*N648</f>
        <v>525</v>
      </c>
      <c r="Q648" s="50">
        <f>+N648*B642</f>
        <v>31500</v>
      </c>
      <c r="R648" s="50">
        <f>Q648*O648</f>
        <v>1575000</v>
      </c>
    </row>
    <row r="649" spans="1:18" x14ac:dyDescent="0.35">
      <c r="A649" s="26">
        <v>4</v>
      </c>
      <c r="B649" s="8" t="s">
        <v>1489</v>
      </c>
      <c r="C649" s="41" t="str">
        <f>VLOOKUP(B649,'Project Resource Master'!C:N,5,0)</f>
        <v>Plastering Mason</v>
      </c>
      <c r="D649" s="50">
        <v>5</v>
      </c>
      <c r="E649" s="50">
        <v>1</v>
      </c>
      <c r="F649" s="50">
        <v>1</v>
      </c>
      <c r="G649" s="50">
        <v>1</v>
      </c>
      <c r="H649" s="50">
        <v>1</v>
      </c>
      <c r="I649" s="50">
        <v>1</v>
      </c>
      <c r="J649" s="50">
        <f>PRODUCT(D649:I649)</f>
        <v>5</v>
      </c>
      <c r="K649" s="41" t="str">
        <f>VLOOKUP(B649,'Project Resource Master'!C:N,6,0)</f>
        <v>hr</v>
      </c>
      <c r="L649" s="50">
        <f>VLOOKUP(B649,'Project Resource Master'!C:N,11,0)</f>
        <v>0.05</v>
      </c>
      <c r="M649" s="50">
        <f>J649*L649</f>
        <v>0.25</v>
      </c>
      <c r="N649" s="50">
        <f>+J649+M649</f>
        <v>5.25</v>
      </c>
      <c r="O649" s="50">
        <f>VLOOKUP(B649,'Project Resource Master'!C:N,12,0)</f>
        <v>50</v>
      </c>
      <c r="P649" s="50">
        <f>+O649*N649</f>
        <v>262.5</v>
      </c>
      <c r="Q649" s="50">
        <f>+N649*B642</f>
        <v>15750</v>
      </c>
      <c r="R649" s="50">
        <f>Q649*O649</f>
        <v>787500</v>
      </c>
    </row>
    <row r="650" spans="1:18" x14ac:dyDescent="0.35">
      <c r="A650" s="26">
        <v>5</v>
      </c>
      <c r="B650" s="8" t="s">
        <v>1491</v>
      </c>
      <c r="C650" s="41" t="str">
        <f>VLOOKUP(B650,'Project Resource Master'!C:N,5,0)</f>
        <v>Helper</v>
      </c>
      <c r="D650" s="50">
        <v>5</v>
      </c>
      <c r="E650" s="50">
        <v>1</v>
      </c>
      <c r="F650" s="50">
        <v>1</v>
      </c>
      <c r="G650" s="50">
        <v>1</v>
      </c>
      <c r="H650" s="50">
        <v>1</v>
      </c>
      <c r="I650" s="50">
        <v>1</v>
      </c>
      <c r="J650" s="50">
        <f>PRODUCT(D650:I650)</f>
        <v>5</v>
      </c>
      <c r="K650" s="41" t="str">
        <f>VLOOKUP(B650,'Project Resource Master'!C:N,6,0)</f>
        <v>hr</v>
      </c>
      <c r="L650" s="50">
        <f>VLOOKUP(B650,'Project Resource Master'!C:N,11,0)</f>
        <v>0.05</v>
      </c>
      <c r="M650" s="50">
        <f>J650*L650</f>
        <v>0.25</v>
      </c>
      <c r="N650" s="50">
        <f>+J650+M650</f>
        <v>5.25</v>
      </c>
      <c r="O650" s="50">
        <f>VLOOKUP(B650,'Project Resource Master'!C:N,12,0)</f>
        <v>50</v>
      </c>
      <c r="P650" s="50">
        <f>+O650*N650</f>
        <v>262.5</v>
      </c>
      <c r="Q650" s="50">
        <f>+N650*B642</f>
        <v>15750</v>
      </c>
      <c r="R650" s="50">
        <f>Q650*O650</f>
        <v>787500</v>
      </c>
    </row>
    <row r="651" spans="1:18" x14ac:dyDescent="0.35">
      <c r="A651" s="27"/>
      <c r="B651" s="41"/>
      <c r="C651" s="41"/>
      <c r="D651" s="50"/>
      <c r="E651" s="50"/>
      <c r="F651" s="50"/>
      <c r="G651" s="50"/>
      <c r="H651" s="50"/>
      <c r="I651" s="50"/>
      <c r="J651" s="50"/>
      <c r="K651" s="41"/>
      <c r="L651" s="50"/>
      <c r="M651" s="50"/>
      <c r="N651" s="50"/>
      <c r="O651" s="50"/>
      <c r="P651" s="50"/>
      <c r="Q651" s="50"/>
      <c r="R651" s="50"/>
    </row>
    <row r="652" spans="1:18" s="14" customFormat="1" x14ac:dyDescent="0.35">
      <c r="A652" s="29" t="str">
        <f>B640</f>
        <v>4b</v>
      </c>
      <c r="B652" s="7"/>
      <c r="C652" s="7" t="s">
        <v>1485</v>
      </c>
      <c r="D652" s="51"/>
      <c r="E652" s="51"/>
      <c r="F652" s="51"/>
      <c r="G652" s="51"/>
      <c r="H652" s="51"/>
      <c r="I652" s="51"/>
      <c r="J652" s="51"/>
      <c r="K652" s="7"/>
      <c r="L652" s="51"/>
      <c r="M652" s="51"/>
      <c r="N652" s="51"/>
      <c r="O652" s="51"/>
      <c r="P652" s="51">
        <f>SUM(P645:P651)</f>
        <v>1377.5</v>
      </c>
      <c r="Q652" s="51"/>
      <c r="R652" s="51">
        <f>SUM(R645:R651)</f>
        <v>4132500</v>
      </c>
    </row>
    <row r="655" spans="1:18" x14ac:dyDescent="0.35">
      <c r="A655" s="29" t="s">
        <v>1348</v>
      </c>
      <c r="B655" s="49" t="s">
        <v>1394</v>
      </c>
      <c r="C655" s="41"/>
      <c r="D655" s="50"/>
      <c r="E655" s="50"/>
      <c r="F655" s="50"/>
      <c r="G655" s="50"/>
      <c r="H655" s="50"/>
      <c r="I655" s="50"/>
      <c r="J655" s="50"/>
      <c r="K655" s="41"/>
      <c r="L655" s="50"/>
      <c r="M655" s="50"/>
      <c r="N655" s="50"/>
      <c r="O655" s="50"/>
      <c r="P655" s="50"/>
      <c r="Q655" s="50"/>
      <c r="R655" s="50"/>
    </row>
    <row r="656" spans="1:18" ht="29" x14ac:dyDescent="0.35">
      <c r="A656" s="29" t="s">
        <v>1450</v>
      </c>
      <c r="B656" s="49" t="str">
        <f>VLOOKUP(B655,'Working BOQ'!A:K,9,0)</f>
        <v>Ceiling Plastering</v>
      </c>
      <c r="C656" s="41"/>
      <c r="D656" s="50"/>
      <c r="E656" s="50"/>
      <c r="F656" s="50"/>
      <c r="G656" s="50"/>
      <c r="H656" s="50"/>
      <c r="I656" s="50"/>
      <c r="J656" s="50"/>
      <c r="K656" s="41"/>
      <c r="L656" s="50"/>
      <c r="M656" s="50"/>
      <c r="N656" s="50"/>
      <c r="O656" s="50"/>
      <c r="P656" s="50"/>
      <c r="Q656" s="50"/>
      <c r="R656" s="50"/>
    </row>
    <row r="657" spans="1:18" x14ac:dyDescent="0.35">
      <c r="A657" s="29" t="s">
        <v>1451</v>
      </c>
      <c r="B657" s="49">
        <f>VLOOKUP(B655,'Working BOQ'!A:N,14,0)</f>
        <v>1500</v>
      </c>
      <c r="C657" s="41"/>
      <c r="D657" s="50"/>
      <c r="E657" s="50"/>
      <c r="F657" s="50"/>
      <c r="G657" s="50"/>
      <c r="H657" s="50"/>
      <c r="I657" s="50"/>
      <c r="J657" s="50"/>
      <c r="K657" s="41"/>
      <c r="L657" s="50"/>
      <c r="M657" s="50"/>
      <c r="N657" s="50"/>
      <c r="O657" s="50"/>
      <c r="P657" s="50"/>
      <c r="Q657" s="50"/>
      <c r="R657" s="50"/>
    </row>
    <row r="658" spans="1:18" x14ac:dyDescent="0.35">
      <c r="A658" s="29" t="s">
        <v>1</v>
      </c>
      <c r="B658" s="49" t="str">
        <f>VLOOKUP(B655,'Working BOQ'!A:K,11,0)</f>
        <v>sqm</v>
      </c>
      <c r="C658" s="41"/>
      <c r="D658" s="50"/>
      <c r="E658" s="50"/>
      <c r="F658" s="50"/>
      <c r="G658" s="50"/>
      <c r="H658" s="50"/>
      <c r="I658" s="50"/>
      <c r="J658" s="50"/>
      <c r="K658" s="41"/>
      <c r="L658" s="50"/>
      <c r="M658" s="50"/>
      <c r="N658" s="50"/>
      <c r="O658" s="50"/>
      <c r="P658" s="50"/>
      <c r="Q658" s="50"/>
      <c r="R658" s="50"/>
    </row>
    <row r="659" spans="1:18" s="6" customFormat="1" x14ac:dyDescent="0.35">
      <c r="A659" s="24" t="s">
        <v>110</v>
      </c>
      <c r="B659" s="5" t="s">
        <v>112</v>
      </c>
      <c r="C659" s="5" t="s">
        <v>111</v>
      </c>
      <c r="D659" s="16" t="s">
        <v>1200</v>
      </c>
      <c r="E659" s="16" t="s">
        <v>1200</v>
      </c>
      <c r="F659" s="16" t="s">
        <v>1452</v>
      </c>
      <c r="G659" s="16" t="s">
        <v>1453</v>
      </c>
      <c r="H659" s="16" t="s">
        <v>1454</v>
      </c>
      <c r="I659" s="16" t="s">
        <v>1455</v>
      </c>
      <c r="J659" s="16" t="s">
        <v>3</v>
      </c>
      <c r="K659" s="5" t="s">
        <v>1</v>
      </c>
      <c r="L659" s="16" t="s">
        <v>1456</v>
      </c>
      <c r="M659" s="16" t="s">
        <v>1457</v>
      </c>
      <c r="N659" s="16" t="s">
        <v>1458</v>
      </c>
      <c r="O659" s="16" t="s">
        <v>1459</v>
      </c>
      <c r="P659" s="16" t="s">
        <v>1122</v>
      </c>
      <c r="Q659" s="16" t="s">
        <v>1486</v>
      </c>
      <c r="R659" s="16" t="s">
        <v>1498</v>
      </c>
    </row>
    <row r="660" spans="1:18" x14ac:dyDescent="0.35">
      <c r="A660" s="27"/>
      <c r="B660" s="41"/>
      <c r="C660" s="41"/>
      <c r="D660" s="50"/>
      <c r="E660" s="50"/>
      <c r="F660" s="50"/>
      <c r="G660" s="50"/>
      <c r="H660" s="50"/>
      <c r="I660" s="50"/>
      <c r="J660" s="50"/>
      <c r="K660" s="41"/>
      <c r="L660" s="50"/>
      <c r="M660" s="50"/>
      <c r="N660" s="50"/>
      <c r="O660" s="50"/>
      <c r="P660" s="50"/>
      <c r="Q660" s="50"/>
      <c r="R660" s="50"/>
    </row>
    <row r="661" spans="1:18" x14ac:dyDescent="0.35">
      <c r="A661" s="26">
        <v>1</v>
      </c>
      <c r="B661" s="8" t="s">
        <v>1539</v>
      </c>
      <c r="C661" s="41" t="str">
        <f>VLOOKUP(B661,'Project Resource Master'!C:N,5,0)</f>
        <v>Cement OPC 43 Grade</v>
      </c>
      <c r="D661" s="50">
        <v>5</v>
      </c>
      <c r="E661" s="50">
        <v>1</v>
      </c>
      <c r="F661" s="50">
        <v>1</v>
      </c>
      <c r="G661" s="50">
        <v>1</v>
      </c>
      <c r="H661" s="50">
        <v>1</v>
      </c>
      <c r="I661" s="50">
        <v>1</v>
      </c>
      <c r="J661" s="50">
        <f>PRODUCT(D661:I661)</f>
        <v>5</v>
      </c>
      <c r="K661" s="41" t="str">
        <f>VLOOKUP(B661,'Project Resource Master'!C:N,6,0)</f>
        <v>bag</v>
      </c>
      <c r="L661" s="50">
        <f>VLOOKUP(B661,'Project Resource Master'!C:N,11,0)</f>
        <v>0.1</v>
      </c>
      <c r="M661" s="50">
        <f>J661*L661</f>
        <v>0.5</v>
      </c>
      <c r="N661" s="50">
        <f>+J661+M661</f>
        <v>5.5</v>
      </c>
      <c r="O661" s="50">
        <f>VLOOKUP(B661,'Project Resource Master'!C:N,12,0)</f>
        <v>50</v>
      </c>
      <c r="P661" s="50">
        <f>+O661*N661</f>
        <v>275</v>
      </c>
      <c r="Q661" s="50">
        <f>+N661*B657</f>
        <v>8250</v>
      </c>
      <c r="R661" s="50">
        <f>Q661*O661</f>
        <v>412500</v>
      </c>
    </row>
    <row r="662" spans="1:18" x14ac:dyDescent="0.35">
      <c r="A662" s="26">
        <v>2</v>
      </c>
      <c r="B662" s="8" t="s">
        <v>1556</v>
      </c>
      <c r="C662" s="41" t="str">
        <f>VLOOKUP(B662,'Project Resource Master'!C:N,5,0)</f>
        <v>P-Sand Grade A</v>
      </c>
      <c r="D662" s="50">
        <v>1</v>
      </c>
      <c r="E662" s="50">
        <v>1</v>
      </c>
      <c r="F662" s="50">
        <v>1</v>
      </c>
      <c r="G662" s="50">
        <v>1</v>
      </c>
      <c r="H662" s="50">
        <v>1</v>
      </c>
      <c r="I662" s="50">
        <v>1</v>
      </c>
      <c r="J662" s="50">
        <f>PRODUCT(D662:I662)</f>
        <v>1</v>
      </c>
      <c r="K662" s="41" t="str">
        <f>VLOOKUP(B662,'Project Resource Master'!C:N,6,0)</f>
        <v>unit</v>
      </c>
      <c r="L662" s="50">
        <f>VLOOKUP(B662,'Project Resource Master'!C:N,11,0)</f>
        <v>0.05</v>
      </c>
      <c r="M662" s="50">
        <f>J662*L662</f>
        <v>0.05</v>
      </c>
      <c r="N662" s="50">
        <f>+J662+M662</f>
        <v>1.05</v>
      </c>
      <c r="O662" s="50">
        <f>VLOOKUP(B662,'Project Resource Master'!C:N,12,0)</f>
        <v>50</v>
      </c>
      <c r="P662" s="50">
        <f>+O662*N662</f>
        <v>52.5</v>
      </c>
      <c r="Q662" s="50">
        <f>+N662*B657</f>
        <v>1575</v>
      </c>
      <c r="R662" s="50">
        <f>Q662*O662</f>
        <v>78750</v>
      </c>
    </row>
    <row r="663" spans="1:18" x14ac:dyDescent="0.35">
      <c r="A663" s="26">
        <v>3</v>
      </c>
      <c r="B663" s="8" t="s">
        <v>1541</v>
      </c>
      <c r="C663" s="41" t="str">
        <f>VLOOKUP(B663,'Project Resource Master'!C:N,5,0)</f>
        <v>Water - Grade A</v>
      </c>
      <c r="D663" s="50">
        <v>10</v>
      </c>
      <c r="E663" s="50">
        <v>1</v>
      </c>
      <c r="F663" s="50">
        <v>1</v>
      </c>
      <c r="G663" s="50">
        <v>1</v>
      </c>
      <c r="H663" s="50">
        <v>1</v>
      </c>
      <c r="I663" s="50">
        <v>1</v>
      </c>
      <c r="J663" s="50">
        <f>PRODUCT(D663:I663)</f>
        <v>10</v>
      </c>
      <c r="K663" s="41" t="str">
        <f>VLOOKUP(B663,'Project Resource Master'!C:N,6,0)</f>
        <v>ltr</v>
      </c>
      <c r="L663" s="50">
        <f>VLOOKUP(B663,'Project Resource Master'!C:N,11,0)</f>
        <v>0.05</v>
      </c>
      <c r="M663" s="50">
        <f>J663*L663</f>
        <v>0.5</v>
      </c>
      <c r="N663" s="50">
        <f>+J663+M663</f>
        <v>10.5</v>
      </c>
      <c r="O663" s="50">
        <f>VLOOKUP(B663,'Project Resource Master'!C:N,12,0)</f>
        <v>50</v>
      </c>
      <c r="P663" s="50">
        <f>+O663*N663</f>
        <v>525</v>
      </c>
      <c r="Q663" s="50">
        <f>+N663*B657</f>
        <v>15750</v>
      </c>
      <c r="R663" s="50">
        <f>Q663*O663</f>
        <v>787500</v>
      </c>
    </row>
    <row r="664" spans="1:18" x14ac:dyDescent="0.35">
      <c r="A664" s="26">
        <v>4</v>
      </c>
      <c r="B664" s="8" t="s">
        <v>1489</v>
      </c>
      <c r="C664" s="41" t="str">
        <f>VLOOKUP(B664,'Project Resource Master'!C:N,5,0)</f>
        <v>Plastering Mason</v>
      </c>
      <c r="D664" s="50">
        <v>5</v>
      </c>
      <c r="E664" s="50">
        <v>1</v>
      </c>
      <c r="F664" s="50">
        <v>1</v>
      </c>
      <c r="G664" s="50">
        <v>1</v>
      </c>
      <c r="H664" s="50">
        <v>1</v>
      </c>
      <c r="I664" s="50">
        <v>1</v>
      </c>
      <c r="J664" s="50">
        <f>PRODUCT(D664:I664)</f>
        <v>5</v>
      </c>
      <c r="K664" s="41" t="str">
        <f>VLOOKUP(B664,'Project Resource Master'!C:N,6,0)</f>
        <v>hr</v>
      </c>
      <c r="L664" s="50">
        <f>VLOOKUP(B664,'Project Resource Master'!C:N,11,0)</f>
        <v>0.05</v>
      </c>
      <c r="M664" s="50">
        <f>J664*L664</f>
        <v>0.25</v>
      </c>
      <c r="N664" s="50">
        <f>+J664+M664</f>
        <v>5.25</v>
      </c>
      <c r="O664" s="50">
        <f>VLOOKUP(B664,'Project Resource Master'!C:N,12,0)</f>
        <v>50</v>
      </c>
      <c r="P664" s="50">
        <f>+O664*N664</f>
        <v>262.5</v>
      </c>
      <c r="Q664" s="50">
        <f>+N664*B657</f>
        <v>7875</v>
      </c>
      <c r="R664" s="50">
        <f>Q664*O664</f>
        <v>393750</v>
      </c>
    </row>
    <row r="665" spans="1:18" x14ac:dyDescent="0.35">
      <c r="A665" s="26">
        <v>5</v>
      </c>
      <c r="B665" s="8" t="s">
        <v>1491</v>
      </c>
      <c r="C665" s="41" t="str">
        <f>VLOOKUP(B665,'Project Resource Master'!C:N,5,0)</f>
        <v>Helper</v>
      </c>
      <c r="D665" s="50">
        <v>5</v>
      </c>
      <c r="E665" s="50">
        <v>1</v>
      </c>
      <c r="F665" s="50">
        <v>1</v>
      </c>
      <c r="G665" s="50">
        <v>1</v>
      </c>
      <c r="H665" s="50">
        <v>1</v>
      </c>
      <c r="I665" s="50">
        <v>1</v>
      </c>
      <c r="J665" s="50">
        <f>PRODUCT(D665:I665)</f>
        <v>5</v>
      </c>
      <c r="K665" s="41" t="str">
        <f>VLOOKUP(B665,'Project Resource Master'!C:N,6,0)</f>
        <v>hr</v>
      </c>
      <c r="L665" s="50">
        <f>VLOOKUP(B665,'Project Resource Master'!C:N,11,0)</f>
        <v>0.05</v>
      </c>
      <c r="M665" s="50">
        <f>J665*L665</f>
        <v>0.25</v>
      </c>
      <c r="N665" s="50">
        <f>+J665+M665</f>
        <v>5.25</v>
      </c>
      <c r="O665" s="50">
        <f>VLOOKUP(B665,'Project Resource Master'!C:N,12,0)</f>
        <v>50</v>
      </c>
      <c r="P665" s="50">
        <f>+O665*N665</f>
        <v>262.5</v>
      </c>
      <c r="Q665" s="50">
        <f>+N665*B657</f>
        <v>7875</v>
      </c>
      <c r="R665" s="50">
        <f>Q665*O665</f>
        <v>393750</v>
      </c>
    </row>
    <row r="666" spans="1:18" x14ac:dyDescent="0.35">
      <c r="A666" s="27"/>
      <c r="B666" s="41"/>
      <c r="C666" s="41"/>
      <c r="D666" s="50"/>
      <c r="E666" s="50"/>
      <c r="F666" s="50"/>
      <c r="G666" s="50"/>
      <c r="H666" s="50"/>
      <c r="I666" s="50"/>
      <c r="J666" s="50"/>
      <c r="K666" s="41"/>
      <c r="L666" s="50"/>
      <c r="M666" s="50"/>
      <c r="N666" s="50"/>
      <c r="O666" s="50"/>
      <c r="P666" s="50"/>
      <c r="Q666" s="50"/>
      <c r="R666" s="50"/>
    </row>
    <row r="667" spans="1:18" s="14" customFormat="1" x14ac:dyDescent="0.35">
      <c r="A667" s="29" t="str">
        <f>B655</f>
        <v>4c</v>
      </c>
      <c r="B667" s="7"/>
      <c r="C667" s="7" t="s">
        <v>1485</v>
      </c>
      <c r="D667" s="51"/>
      <c r="E667" s="51"/>
      <c r="F667" s="51"/>
      <c r="G667" s="51"/>
      <c r="H667" s="51"/>
      <c r="I667" s="51"/>
      <c r="J667" s="51"/>
      <c r="K667" s="7"/>
      <c r="L667" s="51"/>
      <c r="M667" s="51"/>
      <c r="N667" s="51"/>
      <c r="O667" s="51"/>
      <c r="P667" s="51">
        <f>SUM(P660:P666)</f>
        <v>1377.5</v>
      </c>
      <c r="Q667" s="51"/>
      <c r="R667" s="51">
        <f>SUM(R660:R666)</f>
        <v>2066250</v>
      </c>
    </row>
    <row r="670" spans="1:18" x14ac:dyDescent="0.35">
      <c r="A670" s="29" t="s">
        <v>1348</v>
      </c>
      <c r="B670" s="49" t="s">
        <v>1395</v>
      </c>
      <c r="C670" s="41"/>
      <c r="D670" s="50"/>
      <c r="E670" s="50"/>
      <c r="F670" s="50"/>
      <c r="G670" s="50"/>
      <c r="H670" s="50"/>
      <c r="I670" s="50"/>
      <c r="J670" s="50"/>
      <c r="K670" s="41"/>
      <c r="L670" s="50"/>
      <c r="M670" s="50"/>
      <c r="N670" s="50"/>
      <c r="O670" s="50"/>
      <c r="P670" s="50"/>
      <c r="Q670" s="50"/>
      <c r="R670" s="50"/>
    </row>
    <row r="671" spans="1:18" ht="29" x14ac:dyDescent="0.35">
      <c r="A671" s="29" t="s">
        <v>1450</v>
      </c>
      <c r="B671" s="49" t="str">
        <f>VLOOKUP(B670,'Working BOQ'!A:K,9,0)</f>
        <v>Jamb finishing for Doors</v>
      </c>
      <c r="C671" s="41"/>
      <c r="D671" s="50"/>
      <c r="E671" s="50"/>
      <c r="F671" s="50"/>
      <c r="G671" s="50"/>
      <c r="H671" s="50"/>
      <c r="I671" s="50"/>
      <c r="J671" s="50"/>
      <c r="K671" s="41"/>
      <c r="L671" s="50"/>
      <c r="M671" s="50"/>
      <c r="N671" s="50"/>
      <c r="O671" s="50"/>
      <c r="P671" s="50"/>
      <c r="Q671" s="50"/>
      <c r="R671" s="50"/>
    </row>
    <row r="672" spans="1:18" x14ac:dyDescent="0.35">
      <c r="A672" s="29" t="s">
        <v>1451</v>
      </c>
      <c r="B672" s="49">
        <f>VLOOKUP(B670,'Working BOQ'!A:N,14,0)</f>
        <v>75</v>
      </c>
      <c r="C672" s="41"/>
      <c r="D672" s="50"/>
      <c r="E672" s="50"/>
      <c r="F672" s="50"/>
      <c r="G672" s="50"/>
      <c r="H672" s="50"/>
      <c r="I672" s="50"/>
      <c r="J672" s="50"/>
      <c r="K672" s="41"/>
      <c r="L672" s="50"/>
      <c r="M672" s="50"/>
      <c r="N672" s="50"/>
      <c r="O672" s="50"/>
      <c r="P672" s="50"/>
      <c r="Q672" s="50"/>
      <c r="R672" s="50"/>
    </row>
    <row r="673" spans="1:18" x14ac:dyDescent="0.35">
      <c r="A673" s="29" t="s">
        <v>1</v>
      </c>
      <c r="B673" s="49" t="str">
        <f>VLOOKUP(B670,'Working BOQ'!A:K,11,0)</f>
        <v>sqm</v>
      </c>
      <c r="C673" s="41"/>
      <c r="D673" s="50"/>
      <c r="E673" s="50"/>
      <c r="F673" s="50"/>
      <c r="G673" s="50"/>
      <c r="H673" s="50"/>
      <c r="I673" s="50"/>
      <c r="J673" s="50"/>
      <c r="K673" s="41"/>
      <c r="L673" s="50"/>
      <c r="M673" s="50"/>
      <c r="N673" s="50"/>
      <c r="O673" s="50"/>
      <c r="P673" s="50"/>
      <c r="Q673" s="50"/>
      <c r="R673" s="50"/>
    </row>
    <row r="674" spans="1:18" s="6" customFormat="1" x14ac:dyDescent="0.35">
      <c r="A674" s="24" t="s">
        <v>110</v>
      </c>
      <c r="B674" s="5" t="s">
        <v>112</v>
      </c>
      <c r="C674" s="5" t="s">
        <v>111</v>
      </c>
      <c r="D674" s="16" t="s">
        <v>1200</v>
      </c>
      <c r="E674" s="16" t="s">
        <v>1200</v>
      </c>
      <c r="F674" s="16" t="s">
        <v>1452</v>
      </c>
      <c r="G674" s="16" t="s">
        <v>1453</v>
      </c>
      <c r="H674" s="16" t="s">
        <v>1454</v>
      </c>
      <c r="I674" s="16" t="s">
        <v>1455</v>
      </c>
      <c r="J674" s="16" t="s">
        <v>3</v>
      </c>
      <c r="K674" s="5" t="s">
        <v>1</v>
      </c>
      <c r="L674" s="16" t="s">
        <v>1456</v>
      </c>
      <c r="M674" s="16" t="s">
        <v>1457</v>
      </c>
      <c r="N674" s="16" t="s">
        <v>1458</v>
      </c>
      <c r="O674" s="16" t="s">
        <v>1459</v>
      </c>
      <c r="P674" s="16" t="s">
        <v>1122</v>
      </c>
      <c r="Q674" s="16" t="s">
        <v>1486</v>
      </c>
      <c r="R674" s="16" t="s">
        <v>1498</v>
      </c>
    </row>
    <row r="675" spans="1:18" x14ac:dyDescent="0.35">
      <c r="A675" s="27"/>
      <c r="B675" s="41"/>
      <c r="C675" s="41"/>
      <c r="D675" s="50"/>
      <c r="E675" s="50"/>
      <c r="F675" s="50"/>
      <c r="G675" s="50"/>
      <c r="H675" s="50"/>
      <c r="I675" s="50"/>
      <c r="J675" s="50"/>
      <c r="K675" s="41"/>
      <c r="L675" s="50"/>
      <c r="M675" s="50"/>
      <c r="N675" s="50"/>
      <c r="O675" s="50"/>
      <c r="P675" s="50"/>
      <c r="Q675" s="50"/>
      <c r="R675" s="50"/>
    </row>
    <row r="676" spans="1:18" x14ac:dyDescent="0.35">
      <c r="A676" s="26">
        <v>1</v>
      </c>
      <c r="B676" s="8" t="s">
        <v>1539</v>
      </c>
      <c r="C676" s="41" t="str">
        <f>VLOOKUP(B676,'Project Resource Master'!C:N,5,0)</f>
        <v>Cement OPC 43 Grade</v>
      </c>
      <c r="D676" s="50">
        <v>7.5</v>
      </c>
      <c r="E676" s="50">
        <v>1</v>
      </c>
      <c r="F676" s="50">
        <v>1</v>
      </c>
      <c r="G676" s="50">
        <v>1</v>
      </c>
      <c r="H676" s="50">
        <v>1</v>
      </c>
      <c r="I676" s="50">
        <v>1</v>
      </c>
      <c r="J676" s="50">
        <f>PRODUCT(D676:I676)</f>
        <v>7.5</v>
      </c>
      <c r="K676" s="41" t="str">
        <f>VLOOKUP(B676,'Project Resource Master'!C:N,6,0)</f>
        <v>bag</v>
      </c>
      <c r="L676" s="50">
        <f>VLOOKUP(B676,'Project Resource Master'!C:N,11,0)</f>
        <v>0.1</v>
      </c>
      <c r="M676" s="50">
        <f>J676*L676</f>
        <v>0.75</v>
      </c>
      <c r="N676" s="50">
        <f>+J676+M676</f>
        <v>8.25</v>
      </c>
      <c r="O676" s="50">
        <f>VLOOKUP(B676,'Project Resource Master'!C:N,12,0)</f>
        <v>50</v>
      </c>
      <c r="P676" s="50">
        <f>+O676*N676</f>
        <v>412.5</v>
      </c>
      <c r="Q676" s="50">
        <f>+N676*B672</f>
        <v>618.75</v>
      </c>
      <c r="R676" s="50">
        <f>Q676*O676</f>
        <v>30937.5</v>
      </c>
    </row>
    <row r="677" spans="1:18" x14ac:dyDescent="0.35">
      <c r="A677" s="26">
        <v>2</v>
      </c>
      <c r="B677" s="8" t="s">
        <v>1556</v>
      </c>
      <c r="C677" s="41" t="str">
        <f>VLOOKUP(B677,'Project Resource Master'!C:N,5,0)</f>
        <v>P-Sand Grade A</v>
      </c>
      <c r="D677" s="50">
        <v>2</v>
      </c>
      <c r="E677" s="50">
        <v>1</v>
      </c>
      <c r="F677" s="50">
        <v>1</v>
      </c>
      <c r="G677" s="50">
        <v>1</v>
      </c>
      <c r="H677" s="50">
        <v>1</v>
      </c>
      <c r="I677" s="50">
        <v>1</v>
      </c>
      <c r="J677" s="50">
        <f>PRODUCT(D677:I677)</f>
        <v>2</v>
      </c>
      <c r="K677" s="41" t="str">
        <f>VLOOKUP(B677,'Project Resource Master'!C:N,6,0)</f>
        <v>unit</v>
      </c>
      <c r="L677" s="50">
        <f>VLOOKUP(B677,'Project Resource Master'!C:N,11,0)</f>
        <v>0.05</v>
      </c>
      <c r="M677" s="50">
        <f>J677*L677</f>
        <v>0.1</v>
      </c>
      <c r="N677" s="50">
        <f>+J677+M677</f>
        <v>2.1</v>
      </c>
      <c r="O677" s="50">
        <f>VLOOKUP(B677,'Project Resource Master'!C:N,12,0)</f>
        <v>50</v>
      </c>
      <c r="P677" s="50">
        <f>+O677*N677</f>
        <v>105</v>
      </c>
      <c r="Q677" s="50">
        <f>+N677*B672</f>
        <v>157.5</v>
      </c>
      <c r="R677" s="50">
        <f>Q677*O677</f>
        <v>7875</v>
      </c>
    </row>
    <row r="678" spans="1:18" x14ac:dyDescent="0.35">
      <c r="A678" s="26">
        <v>3</v>
      </c>
      <c r="B678" s="8" t="s">
        <v>1541</v>
      </c>
      <c r="C678" s="41" t="str">
        <f>VLOOKUP(B678,'Project Resource Master'!C:N,5,0)</f>
        <v>Water - Grade A</v>
      </c>
      <c r="D678" s="50">
        <v>20</v>
      </c>
      <c r="E678" s="50">
        <v>1</v>
      </c>
      <c r="F678" s="50">
        <v>1</v>
      </c>
      <c r="G678" s="50">
        <v>1</v>
      </c>
      <c r="H678" s="50">
        <v>1</v>
      </c>
      <c r="I678" s="50">
        <v>1</v>
      </c>
      <c r="J678" s="50">
        <f>PRODUCT(D678:I678)</f>
        <v>20</v>
      </c>
      <c r="K678" s="41" t="str">
        <f>VLOOKUP(B678,'Project Resource Master'!C:N,6,0)</f>
        <v>ltr</v>
      </c>
      <c r="L678" s="50">
        <f>VLOOKUP(B678,'Project Resource Master'!C:N,11,0)</f>
        <v>0.05</v>
      </c>
      <c r="M678" s="50">
        <f>J678*L678</f>
        <v>1</v>
      </c>
      <c r="N678" s="50">
        <f>+J678+M678</f>
        <v>21</v>
      </c>
      <c r="O678" s="50">
        <f>VLOOKUP(B678,'Project Resource Master'!C:N,12,0)</f>
        <v>50</v>
      </c>
      <c r="P678" s="50">
        <f>+O678*N678</f>
        <v>1050</v>
      </c>
      <c r="Q678" s="50">
        <f>+N678*B672</f>
        <v>1575</v>
      </c>
      <c r="R678" s="50">
        <f>Q678*O678</f>
        <v>78750</v>
      </c>
    </row>
    <row r="679" spans="1:18" x14ac:dyDescent="0.35">
      <c r="A679" s="26">
        <v>4</v>
      </c>
      <c r="B679" s="8" t="s">
        <v>1489</v>
      </c>
      <c r="C679" s="41" t="str">
        <f>VLOOKUP(B679,'Project Resource Master'!C:N,5,0)</f>
        <v>Plastering Mason</v>
      </c>
      <c r="D679" s="50">
        <v>20</v>
      </c>
      <c r="E679" s="50">
        <v>1</v>
      </c>
      <c r="F679" s="50">
        <v>1</v>
      </c>
      <c r="G679" s="50">
        <v>1</v>
      </c>
      <c r="H679" s="50">
        <v>1</v>
      </c>
      <c r="I679" s="50">
        <v>1</v>
      </c>
      <c r="J679" s="50">
        <f>PRODUCT(D679:I679)</f>
        <v>20</v>
      </c>
      <c r="K679" s="41" t="str">
        <f>VLOOKUP(B679,'Project Resource Master'!C:N,6,0)</f>
        <v>hr</v>
      </c>
      <c r="L679" s="50">
        <f>VLOOKUP(B679,'Project Resource Master'!C:N,11,0)</f>
        <v>0.05</v>
      </c>
      <c r="M679" s="50">
        <f>J679*L679</f>
        <v>1</v>
      </c>
      <c r="N679" s="50">
        <f>+J679+M679</f>
        <v>21</v>
      </c>
      <c r="O679" s="50">
        <f>VLOOKUP(B679,'Project Resource Master'!C:N,12,0)</f>
        <v>50</v>
      </c>
      <c r="P679" s="50">
        <f>+O679*N679</f>
        <v>1050</v>
      </c>
      <c r="Q679" s="50">
        <f>+N679*B672</f>
        <v>1575</v>
      </c>
      <c r="R679" s="50">
        <f>Q679*O679</f>
        <v>78750</v>
      </c>
    </row>
    <row r="680" spans="1:18" x14ac:dyDescent="0.35">
      <c r="A680" s="26">
        <v>5</v>
      </c>
      <c r="B680" s="8" t="s">
        <v>1491</v>
      </c>
      <c r="C680" s="41" t="str">
        <f>VLOOKUP(B680,'Project Resource Master'!C:N,5,0)</f>
        <v>Helper</v>
      </c>
      <c r="D680" s="50">
        <v>20</v>
      </c>
      <c r="E680" s="50">
        <v>1</v>
      </c>
      <c r="F680" s="50">
        <v>1</v>
      </c>
      <c r="G680" s="50">
        <v>1</v>
      </c>
      <c r="H680" s="50">
        <v>1</v>
      </c>
      <c r="I680" s="50">
        <v>1</v>
      </c>
      <c r="J680" s="50">
        <f>PRODUCT(D680:I680)</f>
        <v>20</v>
      </c>
      <c r="K680" s="41" t="str">
        <f>VLOOKUP(B680,'Project Resource Master'!C:N,6,0)</f>
        <v>hr</v>
      </c>
      <c r="L680" s="50">
        <f>VLOOKUP(B680,'Project Resource Master'!C:N,11,0)</f>
        <v>0.05</v>
      </c>
      <c r="M680" s="50">
        <f>J680*L680</f>
        <v>1</v>
      </c>
      <c r="N680" s="50">
        <f>+J680+M680</f>
        <v>21</v>
      </c>
      <c r="O680" s="50">
        <f>VLOOKUP(B680,'Project Resource Master'!C:N,12,0)</f>
        <v>50</v>
      </c>
      <c r="P680" s="50">
        <f>+O680*N680</f>
        <v>1050</v>
      </c>
      <c r="Q680" s="50">
        <f>+N680*B672</f>
        <v>1575</v>
      </c>
      <c r="R680" s="50">
        <f>Q680*O680</f>
        <v>78750</v>
      </c>
    </row>
    <row r="681" spans="1:18" x14ac:dyDescent="0.35">
      <c r="A681" s="27"/>
      <c r="B681" s="41"/>
      <c r="C681" s="41"/>
      <c r="D681" s="50"/>
      <c r="E681" s="50"/>
      <c r="F681" s="50"/>
      <c r="G681" s="50"/>
      <c r="H681" s="50"/>
      <c r="I681" s="50"/>
      <c r="J681" s="50"/>
      <c r="K681" s="41"/>
      <c r="L681" s="50"/>
      <c r="M681" s="50"/>
      <c r="N681" s="50"/>
      <c r="O681" s="50"/>
      <c r="P681" s="50"/>
      <c r="Q681" s="50"/>
      <c r="R681" s="50"/>
    </row>
    <row r="682" spans="1:18" s="14" customFormat="1" x14ac:dyDescent="0.35">
      <c r="A682" s="29" t="str">
        <f>B670</f>
        <v>4d</v>
      </c>
      <c r="B682" s="7"/>
      <c r="C682" s="7" t="s">
        <v>1485</v>
      </c>
      <c r="D682" s="51"/>
      <c r="E682" s="51"/>
      <c r="F682" s="51"/>
      <c r="G682" s="51"/>
      <c r="H682" s="51"/>
      <c r="I682" s="51"/>
      <c r="J682" s="51"/>
      <c r="K682" s="7"/>
      <c r="L682" s="51"/>
      <c r="M682" s="51"/>
      <c r="N682" s="51"/>
      <c r="O682" s="51"/>
      <c r="P682" s="51">
        <f>SUM(P675:P681)</f>
        <v>3667.5</v>
      </c>
      <c r="Q682" s="51"/>
      <c r="R682" s="51">
        <f>SUM(R675:R681)</f>
        <v>275062.5</v>
      </c>
    </row>
    <row r="685" spans="1:18" x14ac:dyDescent="0.35">
      <c r="A685" s="29" t="s">
        <v>1348</v>
      </c>
      <c r="B685" s="49" t="s">
        <v>1396</v>
      </c>
      <c r="C685" s="41"/>
      <c r="D685" s="50"/>
      <c r="E685" s="50"/>
      <c r="F685" s="50"/>
      <c r="G685" s="50"/>
      <c r="H685" s="50"/>
      <c r="I685" s="50"/>
      <c r="J685" s="50"/>
      <c r="K685" s="41"/>
      <c r="L685" s="50"/>
      <c r="M685" s="50"/>
      <c r="N685" s="50"/>
      <c r="O685" s="50"/>
      <c r="P685" s="50"/>
      <c r="Q685" s="50"/>
      <c r="R685" s="50"/>
    </row>
    <row r="686" spans="1:18" ht="29" x14ac:dyDescent="0.35">
      <c r="A686" s="29" t="s">
        <v>1450</v>
      </c>
      <c r="B686" s="49" t="str">
        <f>VLOOKUP(B685,'Working BOQ'!A:K,9,0)</f>
        <v>Jamb finishing for Windows</v>
      </c>
      <c r="C686" s="41"/>
      <c r="D686" s="50"/>
      <c r="E686" s="50"/>
      <c r="F686" s="50"/>
      <c r="G686" s="50"/>
      <c r="H686" s="50"/>
      <c r="I686" s="50"/>
      <c r="J686" s="50"/>
      <c r="K686" s="41"/>
      <c r="L686" s="50"/>
      <c r="M686" s="50"/>
      <c r="N686" s="50"/>
      <c r="O686" s="50"/>
      <c r="P686" s="50"/>
      <c r="Q686" s="50"/>
      <c r="R686" s="50"/>
    </row>
    <row r="687" spans="1:18" x14ac:dyDescent="0.35">
      <c r="A687" s="29" t="s">
        <v>1451</v>
      </c>
      <c r="B687" s="49">
        <f>VLOOKUP(B685,'Working BOQ'!A:N,14,0)</f>
        <v>18</v>
      </c>
      <c r="C687" s="41"/>
      <c r="D687" s="50"/>
      <c r="E687" s="50"/>
      <c r="F687" s="50"/>
      <c r="G687" s="50"/>
      <c r="H687" s="50"/>
      <c r="I687" s="50"/>
      <c r="J687" s="50"/>
      <c r="K687" s="41"/>
      <c r="L687" s="50"/>
      <c r="M687" s="50"/>
      <c r="N687" s="50"/>
      <c r="O687" s="50"/>
      <c r="P687" s="50"/>
      <c r="Q687" s="50"/>
      <c r="R687" s="50"/>
    </row>
    <row r="688" spans="1:18" x14ac:dyDescent="0.35">
      <c r="A688" s="29" t="s">
        <v>1</v>
      </c>
      <c r="B688" s="49" t="str">
        <f>VLOOKUP(B685,'Working BOQ'!A:K,11,0)</f>
        <v>sqm</v>
      </c>
      <c r="C688" s="41"/>
      <c r="D688" s="50"/>
      <c r="E688" s="50"/>
      <c r="F688" s="50"/>
      <c r="G688" s="50"/>
      <c r="H688" s="50"/>
      <c r="I688" s="50"/>
      <c r="J688" s="50"/>
      <c r="K688" s="41"/>
      <c r="L688" s="50"/>
      <c r="M688" s="50"/>
      <c r="N688" s="50"/>
      <c r="O688" s="50"/>
      <c r="P688" s="50"/>
      <c r="Q688" s="50"/>
      <c r="R688" s="50"/>
    </row>
    <row r="689" spans="1:18" s="6" customFormat="1" x14ac:dyDescent="0.35">
      <c r="A689" s="24" t="s">
        <v>110</v>
      </c>
      <c r="B689" s="5" t="s">
        <v>112</v>
      </c>
      <c r="C689" s="5" t="s">
        <v>111</v>
      </c>
      <c r="D689" s="16" t="s">
        <v>1200</v>
      </c>
      <c r="E689" s="16" t="s">
        <v>1200</v>
      </c>
      <c r="F689" s="16" t="s">
        <v>1452</v>
      </c>
      <c r="G689" s="16" t="s">
        <v>1453</v>
      </c>
      <c r="H689" s="16" t="s">
        <v>1454</v>
      </c>
      <c r="I689" s="16" t="s">
        <v>1455</v>
      </c>
      <c r="J689" s="16" t="s">
        <v>3</v>
      </c>
      <c r="K689" s="5" t="s">
        <v>1</v>
      </c>
      <c r="L689" s="16" t="s">
        <v>1456</v>
      </c>
      <c r="M689" s="16" t="s">
        <v>1457</v>
      </c>
      <c r="N689" s="16" t="s">
        <v>1458</v>
      </c>
      <c r="O689" s="16" t="s">
        <v>1459</v>
      </c>
      <c r="P689" s="16" t="s">
        <v>1122</v>
      </c>
      <c r="Q689" s="16" t="s">
        <v>1486</v>
      </c>
      <c r="R689" s="16" t="s">
        <v>1498</v>
      </c>
    </row>
    <row r="690" spans="1:18" x14ac:dyDescent="0.35">
      <c r="A690" s="27"/>
      <c r="B690" s="41"/>
      <c r="C690" s="41"/>
      <c r="D690" s="50"/>
      <c r="E690" s="50"/>
      <c r="F690" s="50"/>
      <c r="G690" s="50"/>
      <c r="H690" s="50"/>
      <c r="I690" s="50"/>
      <c r="J690" s="50"/>
      <c r="K690" s="41"/>
      <c r="L690" s="50"/>
      <c r="M690" s="50"/>
      <c r="N690" s="50"/>
      <c r="O690" s="50"/>
      <c r="P690" s="50"/>
      <c r="Q690" s="50"/>
      <c r="R690" s="50"/>
    </row>
    <row r="691" spans="1:18" x14ac:dyDescent="0.35">
      <c r="A691" s="26">
        <v>1</v>
      </c>
      <c r="B691" s="8" t="s">
        <v>1539</v>
      </c>
      <c r="C691" s="41" t="str">
        <f>VLOOKUP(B691,'Project Resource Master'!C:N,5,0)</f>
        <v>Cement OPC 43 Grade</v>
      </c>
      <c r="D691" s="50">
        <v>7.5</v>
      </c>
      <c r="E691" s="50">
        <v>1</v>
      </c>
      <c r="F691" s="50">
        <v>1</v>
      </c>
      <c r="G691" s="50">
        <v>1</v>
      </c>
      <c r="H691" s="50">
        <v>1</v>
      </c>
      <c r="I691" s="50">
        <v>1</v>
      </c>
      <c r="J691" s="50">
        <f>PRODUCT(D691:I691)</f>
        <v>7.5</v>
      </c>
      <c r="K691" s="41" t="str">
        <f>VLOOKUP(B691,'Project Resource Master'!C:N,6,0)</f>
        <v>bag</v>
      </c>
      <c r="L691" s="50">
        <f>VLOOKUP(B691,'Project Resource Master'!C:N,11,0)</f>
        <v>0.1</v>
      </c>
      <c r="M691" s="50">
        <f>J691*L691</f>
        <v>0.75</v>
      </c>
      <c r="N691" s="50">
        <f>+J691+M691</f>
        <v>8.25</v>
      </c>
      <c r="O691" s="50">
        <f>VLOOKUP(B691,'Project Resource Master'!C:N,12,0)</f>
        <v>50</v>
      </c>
      <c r="P691" s="50">
        <f>+O691*N691</f>
        <v>412.5</v>
      </c>
      <c r="Q691" s="50">
        <f>+N691*B687</f>
        <v>148.5</v>
      </c>
      <c r="R691" s="50">
        <f>Q691*O691</f>
        <v>7425</v>
      </c>
    </row>
    <row r="692" spans="1:18" x14ac:dyDescent="0.35">
      <c r="A692" s="26">
        <v>2</v>
      </c>
      <c r="B692" s="8" t="s">
        <v>1556</v>
      </c>
      <c r="C692" s="41" t="str">
        <f>VLOOKUP(B692,'Project Resource Master'!C:N,5,0)</f>
        <v>P-Sand Grade A</v>
      </c>
      <c r="D692" s="50">
        <v>2</v>
      </c>
      <c r="E692" s="50">
        <v>1</v>
      </c>
      <c r="F692" s="50">
        <v>1</v>
      </c>
      <c r="G692" s="50">
        <v>1</v>
      </c>
      <c r="H692" s="50">
        <v>1</v>
      </c>
      <c r="I692" s="50">
        <v>1</v>
      </c>
      <c r="J692" s="50">
        <f>PRODUCT(D692:I692)</f>
        <v>2</v>
      </c>
      <c r="K692" s="41" t="str">
        <f>VLOOKUP(B692,'Project Resource Master'!C:N,6,0)</f>
        <v>unit</v>
      </c>
      <c r="L692" s="50">
        <f>VLOOKUP(B692,'Project Resource Master'!C:N,11,0)</f>
        <v>0.05</v>
      </c>
      <c r="M692" s="50">
        <f>J692*L692</f>
        <v>0.1</v>
      </c>
      <c r="N692" s="50">
        <f>+J692+M692</f>
        <v>2.1</v>
      </c>
      <c r="O692" s="50">
        <f>VLOOKUP(B692,'Project Resource Master'!C:N,12,0)</f>
        <v>50</v>
      </c>
      <c r="P692" s="50">
        <f>+O692*N692</f>
        <v>105</v>
      </c>
      <c r="Q692" s="50">
        <f>+N692*B687</f>
        <v>37.800000000000004</v>
      </c>
      <c r="R692" s="50">
        <f>Q692*O692</f>
        <v>1890.0000000000002</v>
      </c>
    </row>
    <row r="693" spans="1:18" x14ac:dyDescent="0.35">
      <c r="A693" s="26">
        <v>3</v>
      </c>
      <c r="B693" s="8" t="s">
        <v>1541</v>
      </c>
      <c r="C693" s="41" t="str">
        <f>VLOOKUP(B693,'Project Resource Master'!C:N,5,0)</f>
        <v>Water - Grade A</v>
      </c>
      <c r="D693" s="50">
        <v>20</v>
      </c>
      <c r="E693" s="50">
        <v>1</v>
      </c>
      <c r="F693" s="50">
        <v>1</v>
      </c>
      <c r="G693" s="50">
        <v>1</v>
      </c>
      <c r="H693" s="50">
        <v>1</v>
      </c>
      <c r="I693" s="50">
        <v>1</v>
      </c>
      <c r="J693" s="50">
        <f>PRODUCT(D693:I693)</f>
        <v>20</v>
      </c>
      <c r="K693" s="41" t="str">
        <f>VLOOKUP(B693,'Project Resource Master'!C:N,6,0)</f>
        <v>ltr</v>
      </c>
      <c r="L693" s="50">
        <f>VLOOKUP(B693,'Project Resource Master'!C:N,11,0)</f>
        <v>0.05</v>
      </c>
      <c r="M693" s="50">
        <f>J693*L693</f>
        <v>1</v>
      </c>
      <c r="N693" s="50">
        <f>+J693+M693</f>
        <v>21</v>
      </c>
      <c r="O693" s="50">
        <f>VLOOKUP(B693,'Project Resource Master'!C:N,12,0)</f>
        <v>50</v>
      </c>
      <c r="P693" s="50">
        <f>+O693*N693</f>
        <v>1050</v>
      </c>
      <c r="Q693" s="50">
        <f>+N693*B687</f>
        <v>378</v>
      </c>
      <c r="R693" s="50">
        <f>Q693*O693</f>
        <v>18900</v>
      </c>
    </row>
    <row r="694" spans="1:18" x14ac:dyDescent="0.35">
      <c r="A694" s="26">
        <v>4</v>
      </c>
      <c r="B694" s="8" t="s">
        <v>1489</v>
      </c>
      <c r="C694" s="41" t="str">
        <f>VLOOKUP(B694,'Project Resource Master'!C:N,5,0)</f>
        <v>Plastering Mason</v>
      </c>
      <c r="D694" s="50">
        <v>20</v>
      </c>
      <c r="E694" s="50">
        <v>1</v>
      </c>
      <c r="F694" s="50">
        <v>1</v>
      </c>
      <c r="G694" s="50">
        <v>1</v>
      </c>
      <c r="H694" s="50">
        <v>1</v>
      </c>
      <c r="I694" s="50">
        <v>1</v>
      </c>
      <c r="J694" s="50">
        <f>PRODUCT(D694:I694)</f>
        <v>20</v>
      </c>
      <c r="K694" s="41" t="str">
        <f>VLOOKUP(B694,'Project Resource Master'!C:N,6,0)</f>
        <v>hr</v>
      </c>
      <c r="L694" s="50">
        <f>VLOOKUP(B694,'Project Resource Master'!C:N,11,0)</f>
        <v>0.05</v>
      </c>
      <c r="M694" s="50">
        <f>J694*L694</f>
        <v>1</v>
      </c>
      <c r="N694" s="50">
        <f>+J694+M694</f>
        <v>21</v>
      </c>
      <c r="O694" s="50">
        <f>VLOOKUP(B694,'Project Resource Master'!C:N,12,0)</f>
        <v>50</v>
      </c>
      <c r="P694" s="50">
        <f>+O694*N694</f>
        <v>1050</v>
      </c>
      <c r="Q694" s="50">
        <f>+N694*B687</f>
        <v>378</v>
      </c>
      <c r="R694" s="50">
        <f>Q694*O694</f>
        <v>18900</v>
      </c>
    </row>
    <row r="695" spans="1:18" x14ac:dyDescent="0.35">
      <c r="A695" s="26">
        <v>5</v>
      </c>
      <c r="B695" s="8" t="s">
        <v>1491</v>
      </c>
      <c r="C695" s="41" t="str">
        <f>VLOOKUP(B695,'Project Resource Master'!C:N,5,0)</f>
        <v>Helper</v>
      </c>
      <c r="D695" s="50">
        <v>20</v>
      </c>
      <c r="E695" s="50">
        <v>1</v>
      </c>
      <c r="F695" s="50">
        <v>1</v>
      </c>
      <c r="G695" s="50">
        <v>1</v>
      </c>
      <c r="H695" s="50">
        <v>1</v>
      </c>
      <c r="I695" s="50">
        <v>1</v>
      </c>
      <c r="J695" s="50">
        <f>PRODUCT(D695:I695)</f>
        <v>20</v>
      </c>
      <c r="K695" s="41" t="str">
        <f>VLOOKUP(B695,'Project Resource Master'!C:N,6,0)</f>
        <v>hr</v>
      </c>
      <c r="L695" s="50">
        <f>VLOOKUP(B695,'Project Resource Master'!C:N,11,0)</f>
        <v>0.05</v>
      </c>
      <c r="M695" s="50">
        <f>J695*L695</f>
        <v>1</v>
      </c>
      <c r="N695" s="50">
        <f>+J695+M695</f>
        <v>21</v>
      </c>
      <c r="O695" s="50">
        <f>VLOOKUP(B695,'Project Resource Master'!C:N,12,0)</f>
        <v>50</v>
      </c>
      <c r="P695" s="50">
        <f>+O695*N695</f>
        <v>1050</v>
      </c>
      <c r="Q695" s="50">
        <f>+N695*B687</f>
        <v>378</v>
      </c>
      <c r="R695" s="50">
        <f>Q695*O695</f>
        <v>18900</v>
      </c>
    </row>
    <row r="696" spans="1:18" x14ac:dyDescent="0.35">
      <c r="A696" s="27"/>
      <c r="B696" s="41"/>
      <c r="C696" s="41"/>
      <c r="D696" s="50"/>
      <c r="E696" s="50"/>
      <c r="F696" s="50"/>
      <c r="G696" s="50"/>
      <c r="H696" s="50"/>
      <c r="I696" s="50"/>
      <c r="J696" s="50"/>
      <c r="K696" s="41"/>
      <c r="L696" s="50"/>
      <c r="M696" s="50"/>
      <c r="N696" s="50"/>
      <c r="O696" s="50"/>
      <c r="P696" s="50"/>
      <c r="Q696" s="50"/>
      <c r="R696" s="50"/>
    </row>
    <row r="697" spans="1:18" s="14" customFormat="1" x14ac:dyDescent="0.35">
      <c r="A697" s="29" t="str">
        <f>B685</f>
        <v>4e</v>
      </c>
      <c r="B697" s="7"/>
      <c r="C697" s="7" t="s">
        <v>1485</v>
      </c>
      <c r="D697" s="51"/>
      <c r="E697" s="51"/>
      <c r="F697" s="51"/>
      <c r="G697" s="51"/>
      <c r="H697" s="51"/>
      <c r="I697" s="51"/>
      <c r="J697" s="51"/>
      <c r="K697" s="7"/>
      <c r="L697" s="51"/>
      <c r="M697" s="51"/>
      <c r="N697" s="51"/>
      <c r="O697" s="51"/>
      <c r="P697" s="51">
        <f>SUM(P690:P696)</f>
        <v>3667.5</v>
      </c>
      <c r="Q697" s="51"/>
      <c r="R697" s="51">
        <f>SUM(R690:R696)</f>
        <v>66015</v>
      </c>
    </row>
    <row r="700" spans="1:18" x14ac:dyDescent="0.35">
      <c r="A700" s="29" t="s">
        <v>1348</v>
      </c>
      <c r="B700" s="49" t="s">
        <v>1379</v>
      </c>
      <c r="C700" s="41"/>
      <c r="D700" s="50"/>
      <c r="E700" s="50"/>
      <c r="F700" s="50"/>
      <c r="G700" s="50"/>
      <c r="H700" s="50"/>
      <c r="I700" s="50"/>
      <c r="J700" s="50"/>
      <c r="K700" s="41"/>
      <c r="L700" s="50"/>
      <c r="M700" s="50"/>
      <c r="N700" s="50"/>
      <c r="O700" s="50"/>
      <c r="P700" s="50"/>
      <c r="Q700" s="50"/>
      <c r="R700" s="50"/>
    </row>
    <row r="701" spans="1:18" ht="29" x14ac:dyDescent="0.35">
      <c r="A701" s="29" t="s">
        <v>1450</v>
      </c>
      <c r="B701" s="49" t="str">
        <f>VLOOKUP(B700,'Working BOQ'!A:K,9,0)</f>
        <v>Pre-tensioning works</v>
      </c>
      <c r="C701" s="41"/>
      <c r="D701" s="50"/>
      <c r="E701" s="50"/>
      <c r="F701" s="50"/>
      <c r="G701" s="50"/>
      <c r="H701" s="50"/>
      <c r="I701" s="50"/>
      <c r="J701" s="50"/>
      <c r="K701" s="41"/>
      <c r="L701" s="50"/>
      <c r="M701" s="50"/>
      <c r="N701" s="50"/>
      <c r="O701" s="50"/>
      <c r="P701" s="50"/>
      <c r="Q701" s="50"/>
      <c r="R701" s="50"/>
    </row>
    <row r="702" spans="1:18" x14ac:dyDescent="0.35">
      <c r="A702" s="29" t="s">
        <v>1451</v>
      </c>
      <c r="B702" s="49">
        <f>VLOOKUP(B700,'Working BOQ'!A:N,14,0)</f>
        <v>1</v>
      </c>
      <c r="C702" s="41"/>
      <c r="D702" s="50"/>
      <c r="E702" s="50"/>
      <c r="F702" s="50"/>
      <c r="G702" s="50"/>
      <c r="H702" s="50"/>
      <c r="I702" s="50"/>
      <c r="J702" s="50"/>
      <c r="K702" s="41"/>
      <c r="L702" s="50"/>
      <c r="M702" s="50"/>
      <c r="N702" s="50"/>
      <c r="O702" s="50"/>
      <c r="P702" s="50"/>
      <c r="Q702" s="50"/>
      <c r="R702" s="50"/>
    </row>
    <row r="703" spans="1:18" x14ac:dyDescent="0.35">
      <c r="A703" s="29" t="s">
        <v>1</v>
      </c>
      <c r="B703" s="49" t="str">
        <f>VLOOKUP(B700,'Working BOQ'!A:K,11,0)</f>
        <v>L/s</v>
      </c>
      <c r="C703" s="41"/>
      <c r="D703" s="50"/>
      <c r="E703" s="50"/>
      <c r="F703" s="50"/>
      <c r="G703" s="50"/>
      <c r="H703" s="50"/>
      <c r="I703" s="50"/>
      <c r="J703" s="50"/>
      <c r="K703" s="41"/>
      <c r="L703" s="50"/>
      <c r="M703" s="50"/>
      <c r="N703" s="50"/>
      <c r="O703" s="50"/>
      <c r="P703" s="50"/>
      <c r="Q703" s="50"/>
      <c r="R703" s="50"/>
    </row>
    <row r="704" spans="1:18" s="6" customFormat="1" x14ac:dyDescent="0.35">
      <c r="A704" s="24" t="s">
        <v>110</v>
      </c>
      <c r="B704" s="5" t="s">
        <v>112</v>
      </c>
      <c r="C704" s="5" t="s">
        <v>111</v>
      </c>
      <c r="D704" s="16" t="s">
        <v>1200</v>
      </c>
      <c r="E704" s="16" t="s">
        <v>1200</v>
      </c>
      <c r="F704" s="16" t="s">
        <v>1452</v>
      </c>
      <c r="G704" s="16" t="s">
        <v>1453</v>
      </c>
      <c r="H704" s="16" t="s">
        <v>1454</v>
      </c>
      <c r="I704" s="16" t="s">
        <v>1455</v>
      </c>
      <c r="J704" s="16" t="s">
        <v>3</v>
      </c>
      <c r="K704" s="5" t="s">
        <v>1</v>
      </c>
      <c r="L704" s="16" t="s">
        <v>1456</v>
      </c>
      <c r="M704" s="16" t="s">
        <v>1457</v>
      </c>
      <c r="N704" s="16" t="s">
        <v>1458</v>
      </c>
      <c r="O704" s="16" t="s">
        <v>1459</v>
      </c>
      <c r="P704" s="16" t="s">
        <v>1122</v>
      </c>
      <c r="Q704" s="16" t="s">
        <v>1486</v>
      </c>
      <c r="R704" s="16" t="s">
        <v>1498</v>
      </c>
    </row>
    <row r="705" spans="1:18" x14ac:dyDescent="0.35">
      <c r="A705" s="27"/>
      <c r="B705" s="41"/>
      <c r="C705" s="41"/>
      <c r="D705" s="50"/>
      <c r="E705" s="50"/>
      <c r="F705" s="50"/>
      <c r="G705" s="50"/>
      <c r="H705" s="50"/>
      <c r="I705" s="50"/>
      <c r="J705" s="50"/>
      <c r="K705" s="41"/>
      <c r="L705" s="50"/>
      <c r="M705" s="50"/>
      <c r="N705" s="50"/>
      <c r="O705" s="50"/>
      <c r="P705" s="50"/>
      <c r="Q705" s="50"/>
      <c r="R705" s="50"/>
    </row>
    <row r="706" spans="1:18" x14ac:dyDescent="0.35">
      <c r="A706" s="26">
        <v>1</v>
      </c>
      <c r="B706" s="8" t="s">
        <v>1557</v>
      </c>
      <c r="C706" s="41" t="str">
        <f>VLOOKUP(B706,'Project Resource Master'!C:N,5,0)</f>
        <v>Pre-tensioning works</v>
      </c>
      <c r="D706" s="50">
        <v>1</v>
      </c>
      <c r="E706" s="50">
        <v>1</v>
      </c>
      <c r="F706" s="50">
        <v>1</v>
      </c>
      <c r="G706" s="50">
        <v>1</v>
      </c>
      <c r="H706" s="50">
        <v>1</v>
      </c>
      <c r="I706" s="50">
        <v>1</v>
      </c>
      <c r="J706" s="50">
        <f>PRODUCT(D706:I706)</f>
        <v>1</v>
      </c>
      <c r="K706" s="41" t="str">
        <f>VLOOKUP(B706,'Project Resource Master'!C:N,6,0)</f>
        <v>Cost</v>
      </c>
      <c r="L706" s="50">
        <f>VLOOKUP(B706,'Project Resource Master'!C:N,11,0)</f>
        <v>0</v>
      </c>
      <c r="M706" s="50">
        <f>J706*L706</f>
        <v>0</v>
      </c>
      <c r="N706" s="50">
        <f>+J706+M706</f>
        <v>1</v>
      </c>
      <c r="O706" s="50">
        <f>VLOOKUP(B706,'Project Resource Master'!C:N,12,0)</f>
        <v>123500</v>
      </c>
      <c r="P706" s="50">
        <f>+O706*N706</f>
        <v>123500</v>
      </c>
      <c r="Q706" s="50">
        <f>+N706*B702</f>
        <v>1</v>
      </c>
      <c r="R706" s="50">
        <f>Q706*O706</f>
        <v>123500</v>
      </c>
    </row>
    <row r="707" spans="1:18" x14ac:dyDescent="0.35">
      <c r="A707" s="27"/>
      <c r="B707" s="41"/>
      <c r="C707" s="41"/>
      <c r="D707" s="50"/>
      <c r="E707" s="50"/>
      <c r="F707" s="50"/>
      <c r="G707" s="50"/>
      <c r="H707" s="50"/>
      <c r="I707" s="50"/>
      <c r="J707" s="50"/>
      <c r="K707" s="41"/>
      <c r="L707" s="50"/>
      <c r="M707" s="50"/>
      <c r="N707" s="50"/>
      <c r="O707" s="50"/>
      <c r="P707" s="50"/>
      <c r="Q707" s="50"/>
      <c r="R707" s="50"/>
    </row>
    <row r="708" spans="1:18" s="14" customFormat="1" x14ac:dyDescent="0.35">
      <c r="A708" s="29" t="str">
        <f>B700</f>
        <v>3d</v>
      </c>
      <c r="B708" s="7"/>
      <c r="C708" s="7" t="s">
        <v>1485</v>
      </c>
      <c r="D708" s="51"/>
      <c r="E708" s="51"/>
      <c r="F708" s="51"/>
      <c r="G708" s="51"/>
      <c r="H708" s="51"/>
      <c r="I708" s="51"/>
      <c r="J708" s="51"/>
      <c r="K708" s="7"/>
      <c r="L708" s="51"/>
      <c r="M708" s="51"/>
      <c r="N708" s="51"/>
      <c r="O708" s="51"/>
      <c r="P708" s="51">
        <f>SUM(P705:P707)</f>
        <v>123500</v>
      </c>
      <c r="Q708" s="51"/>
      <c r="R708" s="51">
        <f>SUM(R705:R707)</f>
        <v>123500</v>
      </c>
    </row>
    <row r="711" spans="1:18" x14ac:dyDescent="0.35">
      <c r="A711" s="29" t="s">
        <v>1348</v>
      </c>
      <c r="B711" s="49" t="s">
        <v>1380</v>
      </c>
      <c r="C711" s="41"/>
      <c r="D711" s="50"/>
      <c r="E711" s="50"/>
      <c r="F711" s="50"/>
      <c r="G711" s="50"/>
      <c r="H711" s="50"/>
      <c r="I711" s="50"/>
      <c r="J711" s="50"/>
      <c r="K711" s="41"/>
      <c r="L711" s="50"/>
      <c r="M711" s="50"/>
      <c r="N711" s="50"/>
      <c r="O711" s="50"/>
      <c r="P711" s="50"/>
      <c r="Q711" s="50"/>
      <c r="R711" s="50"/>
    </row>
    <row r="712" spans="1:18" ht="29" x14ac:dyDescent="0.35">
      <c r="A712" s="29" t="s">
        <v>1450</v>
      </c>
      <c r="B712" s="49" t="str">
        <f>VLOOKUP(B711,'Working BOQ'!A:K,9,0)</f>
        <v>Shuttering for Columns</v>
      </c>
      <c r="C712" s="41"/>
      <c r="D712" s="50"/>
      <c r="E712" s="50"/>
      <c r="F712" s="50"/>
      <c r="G712" s="50"/>
      <c r="H712" s="50"/>
      <c r="I712" s="50"/>
      <c r="J712" s="50"/>
      <c r="K712" s="41"/>
      <c r="L712" s="50"/>
      <c r="M712" s="50"/>
      <c r="N712" s="50"/>
      <c r="O712" s="50"/>
      <c r="P712" s="50"/>
      <c r="Q712" s="50"/>
      <c r="R712" s="50"/>
    </row>
    <row r="713" spans="1:18" x14ac:dyDescent="0.35">
      <c r="A713" s="29" t="s">
        <v>1451</v>
      </c>
      <c r="B713" s="49">
        <f>VLOOKUP(B711,'Working BOQ'!A:N,14,0)</f>
        <v>6850</v>
      </c>
      <c r="C713" s="41"/>
      <c r="D713" s="50"/>
      <c r="E713" s="50"/>
      <c r="F713" s="50"/>
      <c r="G713" s="50"/>
      <c r="H713" s="50"/>
      <c r="I713" s="50"/>
      <c r="J713" s="50"/>
      <c r="K713" s="41"/>
      <c r="L713" s="50"/>
      <c r="M713" s="50"/>
      <c r="N713" s="50"/>
      <c r="O713" s="50"/>
      <c r="P713" s="50"/>
      <c r="Q713" s="50"/>
      <c r="R713" s="50"/>
    </row>
    <row r="714" spans="1:18" x14ac:dyDescent="0.35">
      <c r="A714" s="29" t="s">
        <v>1</v>
      </c>
      <c r="B714" s="49" t="str">
        <f>VLOOKUP(B711,'Working BOQ'!A:K,11,0)</f>
        <v>sqm</v>
      </c>
      <c r="C714" s="41"/>
      <c r="D714" s="50"/>
      <c r="E714" s="50"/>
      <c r="F714" s="50"/>
      <c r="G714" s="50"/>
      <c r="H714" s="50"/>
      <c r="I714" s="50"/>
      <c r="J714" s="50"/>
      <c r="K714" s="41"/>
      <c r="L714" s="50"/>
      <c r="M714" s="50"/>
      <c r="N714" s="50"/>
      <c r="O714" s="50"/>
      <c r="P714" s="50"/>
      <c r="Q714" s="50"/>
      <c r="R714" s="50"/>
    </row>
    <row r="715" spans="1:18" s="6" customFormat="1" x14ac:dyDescent="0.35">
      <c r="A715" s="24" t="s">
        <v>110</v>
      </c>
      <c r="B715" s="5" t="s">
        <v>112</v>
      </c>
      <c r="C715" s="5" t="s">
        <v>111</v>
      </c>
      <c r="D715" s="16" t="s">
        <v>1200</v>
      </c>
      <c r="E715" s="16" t="s">
        <v>1200</v>
      </c>
      <c r="F715" s="16" t="s">
        <v>1452</v>
      </c>
      <c r="G715" s="16" t="s">
        <v>1453</v>
      </c>
      <c r="H715" s="16" t="s">
        <v>1454</v>
      </c>
      <c r="I715" s="16" t="s">
        <v>1455</v>
      </c>
      <c r="J715" s="16" t="s">
        <v>3</v>
      </c>
      <c r="K715" s="5" t="s">
        <v>1</v>
      </c>
      <c r="L715" s="16" t="s">
        <v>1456</v>
      </c>
      <c r="M715" s="16" t="s">
        <v>1457</v>
      </c>
      <c r="N715" s="16" t="s">
        <v>1458</v>
      </c>
      <c r="O715" s="16" t="s">
        <v>1459</v>
      </c>
      <c r="P715" s="16" t="s">
        <v>1122</v>
      </c>
      <c r="Q715" s="16" t="s">
        <v>1486</v>
      </c>
      <c r="R715" s="16" t="s">
        <v>1498</v>
      </c>
    </row>
    <row r="716" spans="1:18" x14ac:dyDescent="0.35">
      <c r="A716" s="27"/>
      <c r="B716" s="41"/>
      <c r="C716" s="41"/>
      <c r="D716" s="50"/>
      <c r="E716" s="50"/>
      <c r="F716" s="50"/>
      <c r="G716" s="50"/>
      <c r="H716" s="50"/>
      <c r="I716" s="50"/>
      <c r="J716" s="50"/>
      <c r="K716" s="41"/>
      <c r="L716" s="50"/>
      <c r="M716" s="50"/>
      <c r="N716" s="50"/>
      <c r="O716" s="50"/>
      <c r="P716" s="50"/>
      <c r="Q716" s="50"/>
      <c r="R716" s="50"/>
    </row>
    <row r="717" spans="1:18" x14ac:dyDescent="0.35">
      <c r="A717" s="26">
        <v>1</v>
      </c>
      <c r="B717" s="8" t="s">
        <v>1559</v>
      </c>
      <c r="C717" s="41" t="str">
        <f>VLOOKUP(B717,'Project Resource Master'!C:N,5,0)</f>
        <v>Shuttering for Columns</v>
      </c>
      <c r="D717" s="50">
        <v>1</v>
      </c>
      <c r="E717" s="50">
        <v>1</v>
      </c>
      <c r="F717" s="50">
        <v>1</v>
      </c>
      <c r="G717" s="50">
        <v>1</v>
      </c>
      <c r="H717" s="50">
        <v>1</v>
      </c>
      <c r="I717" s="50">
        <v>1</v>
      </c>
      <c r="J717" s="50">
        <f>PRODUCT(D717:I717)</f>
        <v>1</v>
      </c>
      <c r="K717" s="41" t="str">
        <f>VLOOKUP(B717,'Project Resource Master'!C:N,6,0)</f>
        <v>Cost</v>
      </c>
      <c r="L717" s="50">
        <f>VLOOKUP(B717,'Project Resource Master'!C:N,11,0)</f>
        <v>0</v>
      </c>
      <c r="M717" s="50">
        <f>J717*L717</f>
        <v>0</v>
      </c>
      <c r="N717" s="50">
        <f>+J717+M717</f>
        <v>1</v>
      </c>
      <c r="O717" s="50">
        <f>VLOOKUP(B717,'Project Resource Master'!C:N,12,0)</f>
        <v>150</v>
      </c>
      <c r="P717" s="50">
        <f>+O717*N717</f>
        <v>150</v>
      </c>
      <c r="Q717" s="50">
        <f>+N717*B713</f>
        <v>6850</v>
      </c>
      <c r="R717" s="50">
        <f>Q717*O717</f>
        <v>1027500</v>
      </c>
    </row>
    <row r="718" spans="1:18" x14ac:dyDescent="0.35">
      <c r="A718" s="27"/>
      <c r="B718" s="41"/>
      <c r="C718" s="41"/>
      <c r="D718" s="50"/>
      <c r="E718" s="50"/>
      <c r="F718" s="50"/>
      <c r="G718" s="50"/>
      <c r="H718" s="50"/>
      <c r="I718" s="50"/>
      <c r="J718" s="50"/>
      <c r="K718" s="41"/>
      <c r="L718" s="50"/>
      <c r="M718" s="50"/>
      <c r="N718" s="50"/>
      <c r="O718" s="50"/>
      <c r="P718" s="50"/>
      <c r="Q718" s="50"/>
      <c r="R718" s="50"/>
    </row>
    <row r="719" spans="1:18" s="14" customFormat="1" x14ac:dyDescent="0.35">
      <c r="A719" s="29" t="str">
        <f>B711</f>
        <v>3e</v>
      </c>
      <c r="B719" s="7"/>
      <c r="C719" s="7" t="s">
        <v>1485</v>
      </c>
      <c r="D719" s="51"/>
      <c r="E719" s="51"/>
      <c r="F719" s="51"/>
      <c r="G719" s="51"/>
      <c r="H719" s="51"/>
      <c r="I719" s="51"/>
      <c r="J719" s="51"/>
      <c r="K719" s="7"/>
      <c r="L719" s="51"/>
      <c r="M719" s="51"/>
      <c r="N719" s="51"/>
      <c r="O719" s="51"/>
      <c r="P719" s="51">
        <f>SUM(P716:P718)</f>
        <v>150</v>
      </c>
      <c r="Q719" s="51"/>
      <c r="R719" s="51">
        <f>SUM(R716:R718)</f>
        <v>1027500</v>
      </c>
    </row>
    <row r="722" spans="1:18" x14ac:dyDescent="0.35">
      <c r="A722" s="29" t="s">
        <v>1348</v>
      </c>
      <c r="B722" s="49" t="s">
        <v>1381</v>
      </c>
      <c r="C722" s="41"/>
      <c r="D722" s="50"/>
      <c r="E722" s="50"/>
      <c r="F722" s="50"/>
      <c r="G722" s="50"/>
      <c r="H722" s="50"/>
      <c r="I722" s="50"/>
      <c r="J722" s="50"/>
      <c r="K722" s="41"/>
      <c r="L722" s="50"/>
      <c r="M722" s="50"/>
      <c r="N722" s="50"/>
      <c r="O722" s="50"/>
      <c r="P722" s="50"/>
      <c r="Q722" s="50"/>
      <c r="R722" s="50"/>
    </row>
    <row r="723" spans="1:18" ht="29" x14ac:dyDescent="0.35">
      <c r="A723" s="29" t="s">
        <v>1450</v>
      </c>
      <c r="B723" s="49" t="str">
        <f>VLOOKUP(B722,'Working BOQ'!A:K,9,0)</f>
        <v>Shuttering for Beams</v>
      </c>
      <c r="C723" s="41"/>
      <c r="D723" s="50"/>
      <c r="E723" s="50"/>
      <c r="F723" s="50"/>
      <c r="G723" s="50"/>
      <c r="H723" s="50"/>
      <c r="I723" s="50"/>
      <c r="J723" s="50"/>
      <c r="K723" s="41"/>
      <c r="L723" s="50"/>
      <c r="M723" s="50"/>
      <c r="N723" s="50"/>
      <c r="O723" s="50"/>
      <c r="P723" s="50"/>
      <c r="Q723" s="50"/>
      <c r="R723" s="50"/>
    </row>
    <row r="724" spans="1:18" x14ac:dyDescent="0.35">
      <c r="A724" s="29" t="s">
        <v>1451</v>
      </c>
      <c r="B724" s="49">
        <f>VLOOKUP(B722,'Working BOQ'!A:N,14,0)</f>
        <v>1400</v>
      </c>
      <c r="C724" s="41"/>
      <c r="D724" s="50"/>
      <c r="E724" s="50"/>
      <c r="F724" s="50"/>
      <c r="G724" s="50"/>
      <c r="H724" s="50"/>
      <c r="I724" s="50"/>
      <c r="J724" s="50"/>
      <c r="K724" s="41"/>
      <c r="L724" s="50"/>
      <c r="M724" s="50"/>
      <c r="N724" s="50"/>
      <c r="O724" s="50"/>
      <c r="P724" s="50"/>
      <c r="Q724" s="50"/>
      <c r="R724" s="50"/>
    </row>
    <row r="725" spans="1:18" x14ac:dyDescent="0.35">
      <c r="A725" s="29" t="s">
        <v>1</v>
      </c>
      <c r="B725" s="49" t="str">
        <f>VLOOKUP(B722,'Working BOQ'!A:K,11,0)</f>
        <v>sqm</v>
      </c>
      <c r="C725" s="41"/>
      <c r="D725" s="50"/>
      <c r="E725" s="50"/>
      <c r="F725" s="50"/>
      <c r="G725" s="50"/>
      <c r="H725" s="50"/>
      <c r="I725" s="50"/>
      <c r="J725" s="50"/>
      <c r="K725" s="41"/>
      <c r="L725" s="50"/>
      <c r="M725" s="50"/>
      <c r="N725" s="50"/>
      <c r="O725" s="50"/>
      <c r="P725" s="50"/>
      <c r="Q725" s="50"/>
      <c r="R725" s="50"/>
    </row>
    <row r="726" spans="1:18" s="6" customFormat="1" x14ac:dyDescent="0.35">
      <c r="A726" s="24" t="s">
        <v>110</v>
      </c>
      <c r="B726" s="5" t="s">
        <v>112</v>
      </c>
      <c r="C726" s="5" t="s">
        <v>111</v>
      </c>
      <c r="D726" s="16" t="s">
        <v>1200</v>
      </c>
      <c r="E726" s="16" t="s">
        <v>1200</v>
      </c>
      <c r="F726" s="16" t="s">
        <v>1452</v>
      </c>
      <c r="G726" s="16" t="s">
        <v>1453</v>
      </c>
      <c r="H726" s="16" t="s">
        <v>1454</v>
      </c>
      <c r="I726" s="16" t="s">
        <v>1455</v>
      </c>
      <c r="J726" s="16" t="s">
        <v>3</v>
      </c>
      <c r="K726" s="5" t="s">
        <v>1</v>
      </c>
      <c r="L726" s="16" t="s">
        <v>1456</v>
      </c>
      <c r="M726" s="16" t="s">
        <v>1457</v>
      </c>
      <c r="N726" s="16" t="s">
        <v>1458</v>
      </c>
      <c r="O726" s="16" t="s">
        <v>1459</v>
      </c>
      <c r="P726" s="16" t="s">
        <v>1122</v>
      </c>
      <c r="Q726" s="16" t="s">
        <v>1486</v>
      </c>
      <c r="R726" s="16" t="s">
        <v>1498</v>
      </c>
    </row>
    <row r="727" spans="1:18" x14ac:dyDescent="0.35">
      <c r="A727" s="27"/>
      <c r="B727" s="41"/>
      <c r="C727" s="41"/>
      <c r="D727" s="50"/>
      <c r="E727" s="50"/>
      <c r="F727" s="50"/>
      <c r="G727" s="50"/>
      <c r="H727" s="50"/>
      <c r="I727" s="50"/>
      <c r="J727" s="50"/>
      <c r="K727" s="41"/>
      <c r="L727" s="50"/>
      <c r="M727" s="50"/>
      <c r="N727" s="50"/>
      <c r="O727" s="50"/>
      <c r="P727" s="50"/>
      <c r="Q727" s="50"/>
      <c r="R727" s="50"/>
    </row>
    <row r="728" spans="1:18" x14ac:dyDescent="0.35">
      <c r="A728" s="26">
        <v>1</v>
      </c>
      <c r="B728" s="8" t="s">
        <v>1560</v>
      </c>
      <c r="C728" s="41" t="str">
        <f>VLOOKUP(B728,'Project Resource Master'!C:N,5,0)</f>
        <v>Shuttering for Beams</v>
      </c>
      <c r="D728" s="50">
        <v>1</v>
      </c>
      <c r="E728" s="50">
        <v>1</v>
      </c>
      <c r="F728" s="50">
        <v>1</v>
      </c>
      <c r="G728" s="50">
        <v>1</v>
      </c>
      <c r="H728" s="50">
        <v>1</v>
      </c>
      <c r="I728" s="50">
        <v>1</v>
      </c>
      <c r="J728" s="50">
        <f>PRODUCT(D728:I728)</f>
        <v>1</v>
      </c>
      <c r="K728" s="41" t="str">
        <f>VLOOKUP(B728,'Project Resource Master'!C:N,6,0)</f>
        <v>Cost</v>
      </c>
      <c r="L728" s="50">
        <f>VLOOKUP(B728,'Project Resource Master'!C:N,11,0)</f>
        <v>0</v>
      </c>
      <c r="M728" s="50">
        <f>J728*L728</f>
        <v>0</v>
      </c>
      <c r="N728" s="50">
        <f>+J728+M728</f>
        <v>1</v>
      </c>
      <c r="O728" s="50">
        <f>VLOOKUP(B728,'Project Resource Master'!C:N,12,0)</f>
        <v>180</v>
      </c>
      <c r="P728" s="50">
        <f>+O728*N728</f>
        <v>180</v>
      </c>
      <c r="Q728" s="50">
        <f>+N728*B724</f>
        <v>1400</v>
      </c>
      <c r="R728" s="50">
        <f>Q728*O728</f>
        <v>252000</v>
      </c>
    </row>
    <row r="729" spans="1:18" x14ac:dyDescent="0.35">
      <c r="A729" s="27"/>
      <c r="B729" s="41"/>
      <c r="C729" s="41"/>
      <c r="D729" s="50"/>
      <c r="E729" s="50"/>
      <c r="F729" s="50"/>
      <c r="G729" s="50"/>
      <c r="H729" s="50"/>
      <c r="I729" s="50"/>
      <c r="J729" s="50"/>
      <c r="K729" s="41"/>
      <c r="L729" s="50"/>
      <c r="M729" s="50"/>
      <c r="N729" s="50"/>
      <c r="O729" s="50"/>
      <c r="P729" s="50"/>
      <c r="Q729" s="50"/>
      <c r="R729" s="50"/>
    </row>
    <row r="730" spans="1:18" s="14" customFormat="1" x14ac:dyDescent="0.35">
      <c r="A730" s="29" t="str">
        <f>B722</f>
        <v>3f</v>
      </c>
      <c r="B730" s="7"/>
      <c r="C730" s="7" t="s">
        <v>1485</v>
      </c>
      <c r="D730" s="51"/>
      <c r="E730" s="51"/>
      <c r="F730" s="51"/>
      <c r="G730" s="51"/>
      <c r="H730" s="51"/>
      <c r="I730" s="51"/>
      <c r="J730" s="51"/>
      <c r="K730" s="7"/>
      <c r="L730" s="51"/>
      <c r="M730" s="51"/>
      <c r="N730" s="51"/>
      <c r="O730" s="51"/>
      <c r="P730" s="51">
        <f>SUM(P727:P729)</f>
        <v>180</v>
      </c>
      <c r="Q730" s="51"/>
      <c r="R730" s="51">
        <f>SUM(R727:R729)</f>
        <v>252000</v>
      </c>
    </row>
    <row r="733" spans="1:18" x14ac:dyDescent="0.35">
      <c r="A733" s="29" t="s">
        <v>1348</v>
      </c>
      <c r="B733" s="49" t="s">
        <v>1382</v>
      </c>
      <c r="C733" s="41"/>
      <c r="D733" s="50"/>
      <c r="E733" s="50"/>
      <c r="F733" s="50"/>
      <c r="G733" s="50"/>
      <c r="H733" s="50"/>
      <c r="I733" s="50"/>
      <c r="J733" s="50"/>
      <c r="K733" s="41"/>
      <c r="L733" s="50"/>
      <c r="M733" s="50"/>
      <c r="N733" s="50"/>
      <c r="O733" s="50"/>
      <c r="P733" s="50"/>
      <c r="Q733" s="50"/>
      <c r="R733" s="50"/>
    </row>
    <row r="734" spans="1:18" ht="29" x14ac:dyDescent="0.35">
      <c r="A734" s="29" t="s">
        <v>1450</v>
      </c>
      <c r="B734" s="49" t="str">
        <f>VLOOKUP(B733,'Working BOQ'!A:K,9,0)</f>
        <v>Shuttering for Slabs</v>
      </c>
      <c r="C734" s="41"/>
      <c r="D734" s="50"/>
      <c r="E734" s="50"/>
      <c r="F734" s="50"/>
      <c r="G734" s="50"/>
      <c r="H734" s="50"/>
      <c r="I734" s="50"/>
      <c r="J734" s="50"/>
      <c r="K734" s="41"/>
      <c r="L734" s="50"/>
      <c r="M734" s="50"/>
      <c r="N734" s="50"/>
      <c r="O734" s="50"/>
      <c r="P734" s="50"/>
      <c r="Q734" s="50"/>
      <c r="R734" s="50"/>
    </row>
    <row r="735" spans="1:18" x14ac:dyDescent="0.35">
      <c r="A735" s="29" t="s">
        <v>1451</v>
      </c>
      <c r="B735" s="49">
        <f>VLOOKUP(B733,'Working BOQ'!A:N,14,0)</f>
        <v>2000</v>
      </c>
      <c r="C735" s="41"/>
      <c r="D735" s="50"/>
      <c r="E735" s="50"/>
      <c r="F735" s="50"/>
      <c r="G735" s="50"/>
      <c r="H735" s="50"/>
      <c r="I735" s="50"/>
      <c r="J735" s="50"/>
      <c r="K735" s="41"/>
      <c r="L735" s="50"/>
      <c r="M735" s="50"/>
      <c r="N735" s="50"/>
      <c r="O735" s="50"/>
      <c r="P735" s="50"/>
      <c r="Q735" s="50"/>
      <c r="R735" s="50"/>
    </row>
    <row r="736" spans="1:18" x14ac:dyDescent="0.35">
      <c r="A736" s="29" t="s">
        <v>1</v>
      </c>
      <c r="B736" s="49" t="str">
        <f>VLOOKUP(B733,'Working BOQ'!A:K,11,0)</f>
        <v>sqm</v>
      </c>
      <c r="C736" s="41"/>
      <c r="D736" s="50"/>
      <c r="E736" s="50"/>
      <c r="F736" s="50"/>
      <c r="G736" s="50"/>
      <c r="H736" s="50"/>
      <c r="I736" s="50"/>
      <c r="J736" s="50"/>
      <c r="K736" s="41"/>
      <c r="L736" s="50"/>
      <c r="M736" s="50"/>
      <c r="N736" s="50"/>
      <c r="O736" s="50"/>
      <c r="P736" s="50"/>
      <c r="Q736" s="50"/>
      <c r="R736" s="50"/>
    </row>
    <row r="737" spans="1:18" s="6" customFormat="1" x14ac:dyDescent="0.35">
      <c r="A737" s="24" t="s">
        <v>110</v>
      </c>
      <c r="B737" s="5" t="s">
        <v>112</v>
      </c>
      <c r="C737" s="5" t="s">
        <v>111</v>
      </c>
      <c r="D737" s="16" t="s">
        <v>1200</v>
      </c>
      <c r="E737" s="16" t="s">
        <v>1200</v>
      </c>
      <c r="F737" s="16" t="s">
        <v>1452</v>
      </c>
      <c r="G737" s="16" t="s">
        <v>1453</v>
      </c>
      <c r="H737" s="16" t="s">
        <v>1454</v>
      </c>
      <c r="I737" s="16" t="s">
        <v>1455</v>
      </c>
      <c r="J737" s="16" t="s">
        <v>3</v>
      </c>
      <c r="K737" s="5" t="s">
        <v>1</v>
      </c>
      <c r="L737" s="16" t="s">
        <v>1456</v>
      </c>
      <c r="M737" s="16" t="s">
        <v>1457</v>
      </c>
      <c r="N737" s="16" t="s">
        <v>1458</v>
      </c>
      <c r="O737" s="16" t="s">
        <v>1459</v>
      </c>
      <c r="P737" s="16" t="s">
        <v>1122</v>
      </c>
      <c r="Q737" s="16" t="s">
        <v>1486</v>
      </c>
      <c r="R737" s="16" t="s">
        <v>1498</v>
      </c>
    </row>
    <row r="738" spans="1:18" x14ac:dyDescent="0.35">
      <c r="A738" s="27"/>
      <c r="B738" s="41"/>
      <c r="C738" s="41"/>
      <c r="D738" s="50"/>
      <c r="E738" s="50"/>
      <c r="F738" s="50"/>
      <c r="G738" s="50"/>
      <c r="H738" s="50"/>
      <c r="I738" s="50"/>
      <c r="J738" s="50"/>
      <c r="K738" s="41"/>
      <c r="L738" s="50"/>
      <c r="M738" s="50"/>
      <c r="N738" s="50"/>
      <c r="O738" s="50"/>
      <c r="P738" s="50"/>
      <c r="Q738" s="50"/>
      <c r="R738" s="50"/>
    </row>
    <row r="739" spans="1:18" x14ac:dyDescent="0.35">
      <c r="A739" s="26">
        <v>1</v>
      </c>
      <c r="B739" s="8" t="s">
        <v>1561</v>
      </c>
      <c r="C739" s="41" t="str">
        <f>VLOOKUP(B739,'Project Resource Master'!C:N,5,0)</f>
        <v>Shuttering for Slabs</v>
      </c>
      <c r="D739" s="50">
        <v>1</v>
      </c>
      <c r="E739" s="50">
        <v>1</v>
      </c>
      <c r="F739" s="50">
        <v>1</v>
      </c>
      <c r="G739" s="50">
        <v>1</v>
      </c>
      <c r="H739" s="50">
        <v>1</v>
      </c>
      <c r="I739" s="50">
        <v>1</v>
      </c>
      <c r="J739" s="50">
        <f>PRODUCT(D739:I739)</f>
        <v>1</v>
      </c>
      <c r="K739" s="41" t="str">
        <f>VLOOKUP(B739,'Project Resource Master'!C:N,6,0)</f>
        <v>Cost</v>
      </c>
      <c r="L739" s="50">
        <f>VLOOKUP(B739,'Project Resource Master'!C:N,11,0)</f>
        <v>0</v>
      </c>
      <c r="M739" s="50">
        <f>J739*L739</f>
        <v>0</v>
      </c>
      <c r="N739" s="50">
        <f>+J739+M739</f>
        <v>1</v>
      </c>
      <c r="O739" s="50">
        <f>VLOOKUP(B739,'Project Resource Master'!C:N,12,0)</f>
        <v>190</v>
      </c>
      <c r="P739" s="50">
        <f>+O739*N739</f>
        <v>190</v>
      </c>
      <c r="Q739" s="50">
        <f>+N739*B735</f>
        <v>2000</v>
      </c>
      <c r="R739" s="50">
        <f>Q739*O739</f>
        <v>380000</v>
      </c>
    </row>
    <row r="740" spans="1:18" x14ac:dyDescent="0.35">
      <c r="A740" s="27"/>
      <c r="B740" s="41"/>
      <c r="C740" s="41"/>
      <c r="D740" s="50"/>
      <c r="E740" s="50"/>
      <c r="F740" s="50"/>
      <c r="G740" s="50"/>
      <c r="H740" s="50"/>
      <c r="I740" s="50"/>
      <c r="J740" s="50"/>
      <c r="K740" s="41"/>
      <c r="L740" s="50"/>
      <c r="M740" s="50"/>
      <c r="N740" s="50"/>
      <c r="O740" s="50"/>
      <c r="P740" s="50"/>
      <c r="Q740" s="50"/>
      <c r="R740" s="50"/>
    </row>
    <row r="741" spans="1:18" s="14" customFormat="1" x14ac:dyDescent="0.35">
      <c r="A741" s="29" t="str">
        <f>B733</f>
        <v>3g</v>
      </c>
      <c r="B741" s="7"/>
      <c r="C741" s="7" t="s">
        <v>1485</v>
      </c>
      <c r="D741" s="51"/>
      <c r="E741" s="51"/>
      <c r="F741" s="51"/>
      <c r="G741" s="51"/>
      <c r="H741" s="51"/>
      <c r="I741" s="51"/>
      <c r="J741" s="51"/>
      <c r="K741" s="7"/>
      <c r="L741" s="51"/>
      <c r="M741" s="51"/>
      <c r="N741" s="51"/>
      <c r="O741" s="51"/>
      <c r="P741" s="51">
        <f>SUM(P738:P740)</f>
        <v>190</v>
      </c>
      <c r="Q741" s="51"/>
      <c r="R741" s="51">
        <f>SUM(R738:R740)</f>
        <v>380000</v>
      </c>
    </row>
    <row r="744" spans="1:18" x14ac:dyDescent="0.35">
      <c r="A744" s="29" t="s">
        <v>1348</v>
      </c>
      <c r="B744" s="49" t="s">
        <v>1383</v>
      </c>
      <c r="C744" s="41"/>
      <c r="D744" s="50"/>
      <c r="E744" s="50"/>
      <c r="F744" s="50"/>
      <c r="G744" s="50"/>
      <c r="H744" s="50"/>
      <c r="I744" s="50"/>
      <c r="J744" s="50"/>
      <c r="K744" s="41"/>
      <c r="L744" s="50"/>
      <c r="M744" s="50"/>
      <c r="N744" s="50"/>
      <c r="O744" s="50"/>
      <c r="P744" s="50"/>
      <c r="Q744" s="50"/>
      <c r="R744" s="50"/>
    </row>
    <row r="745" spans="1:18" ht="29" x14ac:dyDescent="0.35">
      <c r="A745" s="29" t="s">
        <v>1450</v>
      </c>
      <c r="B745" s="49" t="str">
        <f>VLOOKUP(B744,'Working BOQ'!A:K,9,0)</f>
        <v>Scaffolding for Columns</v>
      </c>
      <c r="C745" s="41"/>
      <c r="D745" s="50"/>
      <c r="E745" s="50"/>
      <c r="F745" s="50"/>
      <c r="G745" s="50"/>
      <c r="H745" s="50"/>
      <c r="I745" s="50"/>
      <c r="J745" s="50"/>
      <c r="K745" s="41"/>
      <c r="L745" s="50"/>
      <c r="M745" s="50"/>
      <c r="N745" s="50"/>
      <c r="O745" s="50"/>
      <c r="P745" s="50"/>
      <c r="Q745" s="50"/>
      <c r="R745" s="50"/>
    </row>
    <row r="746" spans="1:18" x14ac:dyDescent="0.35">
      <c r="A746" s="29" t="s">
        <v>1451</v>
      </c>
      <c r="B746" s="49">
        <f>VLOOKUP(B744,'Working BOQ'!A:N,14,0)</f>
        <v>6850</v>
      </c>
      <c r="C746" s="41"/>
      <c r="D746" s="50"/>
      <c r="E746" s="50"/>
      <c r="F746" s="50"/>
      <c r="G746" s="50"/>
      <c r="H746" s="50"/>
      <c r="I746" s="50"/>
      <c r="J746" s="50"/>
      <c r="K746" s="41"/>
      <c r="L746" s="50"/>
      <c r="M746" s="50"/>
      <c r="N746" s="50"/>
      <c r="O746" s="50"/>
      <c r="P746" s="50"/>
      <c r="Q746" s="50"/>
      <c r="R746" s="50"/>
    </row>
    <row r="747" spans="1:18" x14ac:dyDescent="0.35">
      <c r="A747" s="29" t="s">
        <v>1</v>
      </c>
      <c r="B747" s="49" t="str">
        <f>VLOOKUP(B744,'Working BOQ'!A:K,11,0)</f>
        <v>sqm</v>
      </c>
      <c r="C747" s="41"/>
      <c r="D747" s="50"/>
      <c r="E747" s="50"/>
      <c r="F747" s="50"/>
      <c r="G747" s="50"/>
      <c r="H747" s="50"/>
      <c r="I747" s="50"/>
      <c r="J747" s="50"/>
      <c r="K747" s="41"/>
      <c r="L747" s="50"/>
      <c r="M747" s="50"/>
      <c r="N747" s="50"/>
      <c r="O747" s="50"/>
      <c r="P747" s="50"/>
      <c r="Q747" s="50"/>
      <c r="R747" s="50"/>
    </row>
    <row r="748" spans="1:18" s="6" customFormat="1" x14ac:dyDescent="0.35">
      <c r="A748" s="24" t="s">
        <v>110</v>
      </c>
      <c r="B748" s="5" t="s">
        <v>112</v>
      </c>
      <c r="C748" s="5" t="s">
        <v>111</v>
      </c>
      <c r="D748" s="16" t="s">
        <v>1200</v>
      </c>
      <c r="E748" s="16" t="s">
        <v>1200</v>
      </c>
      <c r="F748" s="16" t="s">
        <v>1452</v>
      </c>
      <c r="G748" s="16" t="s">
        <v>1453</v>
      </c>
      <c r="H748" s="16" t="s">
        <v>1454</v>
      </c>
      <c r="I748" s="16" t="s">
        <v>1455</v>
      </c>
      <c r="J748" s="16" t="s">
        <v>3</v>
      </c>
      <c r="K748" s="5" t="s">
        <v>1</v>
      </c>
      <c r="L748" s="16" t="s">
        <v>1456</v>
      </c>
      <c r="M748" s="16" t="s">
        <v>1457</v>
      </c>
      <c r="N748" s="16" t="s">
        <v>1458</v>
      </c>
      <c r="O748" s="16" t="s">
        <v>1459</v>
      </c>
      <c r="P748" s="16" t="s">
        <v>1122</v>
      </c>
      <c r="Q748" s="16" t="s">
        <v>1486</v>
      </c>
      <c r="R748" s="16" t="s">
        <v>1498</v>
      </c>
    </row>
    <row r="749" spans="1:18" x14ac:dyDescent="0.35">
      <c r="A749" s="27"/>
      <c r="B749" s="41"/>
      <c r="C749" s="41"/>
      <c r="D749" s="50"/>
      <c r="E749" s="50"/>
      <c r="F749" s="50"/>
      <c r="G749" s="50"/>
      <c r="H749" s="50"/>
      <c r="I749" s="50"/>
      <c r="J749" s="50"/>
      <c r="K749" s="41"/>
      <c r="L749" s="50"/>
      <c r="M749" s="50"/>
      <c r="N749" s="50"/>
      <c r="O749" s="50"/>
      <c r="P749" s="50"/>
      <c r="Q749" s="50"/>
      <c r="R749" s="50"/>
    </row>
    <row r="750" spans="1:18" x14ac:dyDescent="0.35">
      <c r="A750" s="26">
        <v>1</v>
      </c>
      <c r="B750" s="8" t="s">
        <v>1562</v>
      </c>
      <c r="C750" s="41" t="str">
        <f>VLOOKUP(B750,'Project Resource Master'!C:N,5,0)</f>
        <v>Scaffolding for Columns</v>
      </c>
      <c r="D750" s="50">
        <v>1</v>
      </c>
      <c r="E750" s="50">
        <v>1</v>
      </c>
      <c r="F750" s="50">
        <v>1</v>
      </c>
      <c r="G750" s="50">
        <v>1</v>
      </c>
      <c r="H750" s="50">
        <v>1</v>
      </c>
      <c r="I750" s="50">
        <v>1</v>
      </c>
      <c r="J750" s="50">
        <f>PRODUCT(D750:I750)</f>
        <v>1</v>
      </c>
      <c r="K750" s="41" t="str">
        <f>VLOOKUP(B750,'Project Resource Master'!C:N,6,0)</f>
        <v>Cost</v>
      </c>
      <c r="L750" s="50">
        <f>VLOOKUP(B750,'Project Resource Master'!C:N,11,0)</f>
        <v>0</v>
      </c>
      <c r="M750" s="50">
        <f>J750*L750</f>
        <v>0</v>
      </c>
      <c r="N750" s="50">
        <f>+J750+M750</f>
        <v>1</v>
      </c>
      <c r="O750" s="50">
        <f>VLOOKUP(B750,'Project Resource Master'!C:N,12,0)</f>
        <v>80</v>
      </c>
      <c r="P750" s="50">
        <f>+O750*N750</f>
        <v>80</v>
      </c>
      <c r="Q750" s="50">
        <f>+N750*B746</f>
        <v>6850</v>
      </c>
      <c r="R750" s="50">
        <f>Q750*O750</f>
        <v>548000</v>
      </c>
    </row>
    <row r="751" spans="1:18" x14ac:dyDescent="0.35">
      <c r="A751" s="27"/>
      <c r="B751" s="41"/>
      <c r="C751" s="41"/>
      <c r="D751" s="50"/>
      <c r="E751" s="50"/>
      <c r="F751" s="50"/>
      <c r="G751" s="50"/>
      <c r="H751" s="50"/>
      <c r="I751" s="50"/>
      <c r="J751" s="50"/>
      <c r="K751" s="41"/>
      <c r="L751" s="50"/>
      <c r="M751" s="50"/>
      <c r="N751" s="50"/>
      <c r="O751" s="50"/>
      <c r="P751" s="50"/>
      <c r="Q751" s="50"/>
      <c r="R751" s="50"/>
    </row>
    <row r="752" spans="1:18" s="14" customFormat="1" x14ac:dyDescent="0.35">
      <c r="A752" s="29" t="str">
        <f>B744</f>
        <v>3h</v>
      </c>
      <c r="B752" s="7"/>
      <c r="C752" s="7" t="s">
        <v>1485</v>
      </c>
      <c r="D752" s="51"/>
      <c r="E752" s="51"/>
      <c r="F752" s="51"/>
      <c r="G752" s="51"/>
      <c r="H752" s="51"/>
      <c r="I752" s="51"/>
      <c r="J752" s="51"/>
      <c r="K752" s="7"/>
      <c r="L752" s="51"/>
      <c r="M752" s="51"/>
      <c r="N752" s="51"/>
      <c r="O752" s="51"/>
      <c r="P752" s="51">
        <f>SUM(P749:P751)</f>
        <v>80</v>
      </c>
      <c r="Q752" s="51"/>
      <c r="R752" s="51">
        <f>SUM(R749:R751)</f>
        <v>548000</v>
      </c>
    </row>
    <row r="755" spans="1:18" x14ac:dyDescent="0.35">
      <c r="A755" s="29" t="s">
        <v>1348</v>
      </c>
      <c r="B755" s="49" t="s">
        <v>1384</v>
      </c>
      <c r="C755" s="41"/>
      <c r="D755" s="50"/>
      <c r="E755" s="50"/>
      <c r="F755" s="50"/>
      <c r="G755" s="50"/>
      <c r="H755" s="50"/>
      <c r="I755" s="50"/>
      <c r="J755" s="50"/>
      <c r="K755" s="41"/>
      <c r="L755" s="50"/>
      <c r="M755" s="50"/>
      <c r="N755" s="50"/>
      <c r="O755" s="50"/>
      <c r="P755" s="50"/>
      <c r="Q755" s="50"/>
      <c r="R755" s="50"/>
    </row>
    <row r="756" spans="1:18" ht="29" x14ac:dyDescent="0.35">
      <c r="A756" s="29" t="s">
        <v>1450</v>
      </c>
      <c r="B756" s="49" t="str">
        <f>VLOOKUP(B755,'Working BOQ'!A:K,9,0)</f>
        <v>Scaffolding for Beams</v>
      </c>
      <c r="C756" s="41"/>
      <c r="D756" s="50"/>
      <c r="E756" s="50"/>
      <c r="F756" s="50"/>
      <c r="G756" s="50"/>
      <c r="H756" s="50"/>
      <c r="I756" s="50"/>
      <c r="J756" s="50"/>
      <c r="K756" s="41"/>
      <c r="L756" s="50"/>
      <c r="M756" s="50"/>
      <c r="N756" s="50"/>
      <c r="O756" s="50"/>
      <c r="P756" s="50"/>
      <c r="Q756" s="50"/>
      <c r="R756" s="50"/>
    </row>
    <row r="757" spans="1:18" x14ac:dyDescent="0.35">
      <c r="A757" s="29" t="s">
        <v>1451</v>
      </c>
      <c r="B757" s="49">
        <f>VLOOKUP(B755,'Working BOQ'!A:N,14,0)</f>
        <v>1400</v>
      </c>
      <c r="C757" s="41"/>
      <c r="D757" s="50"/>
      <c r="E757" s="50"/>
      <c r="F757" s="50"/>
      <c r="G757" s="50"/>
      <c r="H757" s="50"/>
      <c r="I757" s="50"/>
      <c r="J757" s="50"/>
      <c r="K757" s="41"/>
      <c r="L757" s="50"/>
      <c r="M757" s="50"/>
      <c r="N757" s="50"/>
      <c r="O757" s="50"/>
      <c r="P757" s="50"/>
      <c r="Q757" s="50"/>
      <c r="R757" s="50"/>
    </row>
    <row r="758" spans="1:18" x14ac:dyDescent="0.35">
      <c r="A758" s="29" t="s">
        <v>1</v>
      </c>
      <c r="B758" s="49" t="str">
        <f>VLOOKUP(B755,'Working BOQ'!A:K,11,0)</f>
        <v>sqm</v>
      </c>
      <c r="C758" s="41"/>
      <c r="D758" s="50"/>
      <c r="E758" s="50"/>
      <c r="F758" s="50"/>
      <c r="G758" s="50"/>
      <c r="H758" s="50"/>
      <c r="I758" s="50"/>
      <c r="J758" s="50"/>
      <c r="K758" s="41"/>
      <c r="L758" s="50"/>
      <c r="M758" s="50"/>
      <c r="N758" s="50"/>
      <c r="O758" s="50"/>
      <c r="P758" s="50"/>
      <c r="Q758" s="50"/>
      <c r="R758" s="50"/>
    </row>
    <row r="759" spans="1:18" s="6" customFormat="1" x14ac:dyDescent="0.35">
      <c r="A759" s="24" t="s">
        <v>110</v>
      </c>
      <c r="B759" s="5" t="s">
        <v>112</v>
      </c>
      <c r="C759" s="5" t="s">
        <v>111</v>
      </c>
      <c r="D759" s="16" t="s">
        <v>1200</v>
      </c>
      <c r="E759" s="16" t="s">
        <v>1200</v>
      </c>
      <c r="F759" s="16" t="s">
        <v>1452</v>
      </c>
      <c r="G759" s="16" t="s">
        <v>1453</v>
      </c>
      <c r="H759" s="16" t="s">
        <v>1454</v>
      </c>
      <c r="I759" s="16" t="s">
        <v>1455</v>
      </c>
      <c r="J759" s="16" t="s">
        <v>3</v>
      </c>
      <c r="K759" s="5" t="s">
        <v>1</v>
      </c>
      <c r="L759" s="16" t="s">
        <v>1456</v>
      </c>
      <c r="M759" s="16" t="s">
        <v>1457</v>
      </c>
      <c r="N759" s="16" t="s">
        <v>1458</v>
      </c>
      <c r="O759" s="16" t="s">
        <v>1459</v>
      </c>
      <c r="P759" s="16" t="s">
        <v>1122</v>
      </c>
      <c r="Q759" s="16" t="s">
        <v>1486</v>
      </c>
      <c r="R759" s="16" t="s">
        <v>1498</v>
      </c>
    </row>
    <row r="760" spans="1:18" x14ac:dyDescent="0.35">
      <c r="A760" s="27"/>
      <c r="B760" s="41"/>
      <c r="C760" s="41"/>
      <c r="D760" s="50"/>
      <c r="E760" s="50"/>
      <c r="F760" s="50"/>
      <c r="G760" s="50"/>
      <c r="H760" s="50"/>
      <c r="I760" s="50"/>
      <c r="J760" s="50"/>
      <c r="K760" s="41"/>
      <c r="L760" s="50"/>
      <c r="M760" s="50"/>
      <c r="N760" s="50"/>
      <c r="O760" s="50"/>
      <c r="P760" s="50"/>
      <c r="Q760" s="50"/>
      <c r="R760" s="50"/>
    </row>
    <row r="761" spans="1:18" x14ac:dyDescent="0.35">
      <c r="A761" s="26">
        <v>1</v>
      </c>
      <c r="B761" s="8" t="s">
        <v>1563</v>
      </c>
      <c r="C761" s="41" t="str">
        <f>VLOOKUP(B761,'Project Resource Master'!C:N,5,0)</f>
        <v>Scaffolding for Beams</v>
      </c>
      <c r="D761" s="50">
        <v>1</v>
      </c>
      <c r="E761" s="50">
        <v>1</v>
      </c>
      <c r="F761" s="50">
        <v>1</v>
      </c>
      <c r="G761" s="50">
        <v>1</v>
      </c>
      <c r="H761" s="50">
        <v>1</v>
      </c>
      <c r="I761" s="50">
        <v>1</v>
      </c>
      <c r="J761" s="50">
        <f>PRODUCT(D761:I761)</f>
        <v>1</v>
      </c>
      <c r="K761" s="41" t="str">
        <f>VLOOKUP(B761,'Project Resource Master'!C:N,6,0)</f>
        <v>Cost</v>
      </c>
      <c r="L761" s="50">
        <f>VLOOKUP(B761,'Project Resource Master'!C:N,11,0)</f>
        <v>0</v>
      </c>
      <c r="M761" s="50">
        <f>J761*L761</f>
        <v>0</v>
      </c>
      <c r="N761" s="50">
        <f>+J761+M761</f>
        <v>1</v>
      </c>
      <c r="O761" s="50">
        <f>VLOOKUP(B761,'Project Resource Master'!C:N,12,0)</f>
        <v>50</v>
      </c>
      <c r="P761" s="50">
        <f>+O761*N761</f>
        <v>50</v>
      </c>
      <c r="Q761" s="50">
        <f>+N761*B757</f>
        <v>1400</v>
      </c>
      <c r="R761" s="50">
        <f>Q761*O761</f>
        <v>70000</v>
      </c>
    </row>
    <row r="762" spans="1:18" x14ac:dyDescent="0.35">
      <c r="A762" s="27"/>
      <c r="B762" s="41"/>
      <c r="C762" s="41"/>
      <c r="D762" s="50"/>
      <c r="E762" s="50"/>
      <c r="F762" s="50"/>
      <c r="G762" s="50"/>
      <c r="H762" s="50"/>
      <c r="I762" s="50"/>
      <c r="J762" s="50"/>
      <c r="K762" s="41"/>
      <c r="L762" s="50"/>
      <c r="M762" s="50"/>
      <c r="N762" s="50"/>
      <c r="O762" s="50"/>
      <c r="P762" s="50"/>
      <c r="Q762" s="50"/>
      <c r="R762" s="50"/>
    </row>
    <row r="763" spans="1:18" s="14" customFormat="1" x14ac:dyDescent="0.35">
      <c r="A763" s="29" t="str">
        <f>B755</f>
        <v>3i</v>
      </c>
      <c r="B763" s="7"/>
      <c r="C763" s="7" t="s">
        <v>1485</v>
      </c>
      <c r="D763" s="51"/>
      <c r="E763" s="51"/>
      <c r="F763" s="51"/>
      <c r="G763" s="51"/>
      <c r="H763" s="51"/>
      <c r="I763" s="51"/>
      <c r="J763" s="51"/>
      <c r="K763" s="7"/>
      <c r="L763" s="51"/>
      <c r="M763" s="51"/>
      <c r="N763" s="51"/>
      <c r="O763" s="51"/>
      <c r="P763" s="51">
        <f>SUM(P760:P762)</f>
        <v>50</v>
      </c>
      <c r="Q763" s="51"/>
      <c r="R763" s="51">
        <f>SUM(R760:R762)</f>
        <v>70000</v>
      </c>
    </row>
    <row r="766" spans="1:18" x14ac:dyDescent="0.35">
      <c r="A766" s="29" t="s">
        <v>1348</v>
      </c>
      <c r="B766" s="49" t="s">
        <v>1385</v>
      </c>
      <c r="C766" s="41"/>
      <c r="D766" s="50"/>
      <c r="E766" s="50"/>
      <c r="F766" s="50"/>
      <c r="G766" s="50"/>
      <c r="H766" s="50"/>
      <c r="I766" s="50"/>
      <c r="J766" s="50"/>
      <c r="K766" s="41"/>
      <c r="L766" s="50"/>
      <c r="M766" s="50"/>
      <c r="N766" s="50"/>
      <c r="O766" s="50"/>
      <c r="P766" s="50"/>
      <c r="Q766" s="50"/>
      <c r="R766" s="50"/>
    </row>
    <row r="767" spans="1:18" ht="29" x14ac:dyDescent="0.35">
      <c r="A767" s="29" t="s">
        <v>1450</v>
      </c>
      <c r="B767" s="49" t="str">
        <f>VLOOKUP(B766,'Working BOQ'!A:K,9,0)</f>
        <v>Scaffolding for Slabs</v>
      </c>
      <c r="C767" s="41"/>
      <c r="D767" s="50"/>
      <c r="E767" s="50"/>
      <c r="F767" s="50"/>
      <c r="G767" s="50"/>
      <c r="H767" s="50"/>
      <c r="I767" s="50"/>
      <c r="J767" s="50"/>
      <c r="K767" s="41"/>
      <c r="L767" s="50"/>
      <c r="M767" s="50"/>
      <c r="N767" s="50"/>
      <c r="O767" s="50"/>
      <c r="P767" s="50"/>
      <c r="Q767" s="50"/>
      <c r="R767" s="50"/>
    </row>
    <row r="768" spans="1:18" x14ac:dyDescent="0.35">
      <c r="A768" s="29" t="s">
        <v>1451</v>
      </c>
      <c r="B768" s="49">
        <f>VLOOKUP(B766,'Working BOQ'!A:N,14,0)</f>
        <v>2000</v>
      </c>
      <c r="C768" s="41"/>
      <c r="D768" s="50"/>
      <c r="E768" s="50"/>
      <c r="F768" s="50"/>
      <c r="G768" s="50"/>
      <c r="H768" s="50"/>
      <c r="I768" s="50"/>
      <c r="J768" s="50"/>
      <c r="K768" s="41"/>
      <c r="L768" s="50"/>
      <c r="M768" s="50"/>
      <c r="N768" s="50"/>
      <c r="O768" s="50"/>
      <c r="P768" s="50"/>
      <c r="Q768" s="50"/>
      <c r="R768" s="50"/>
    </row>
    <row r="769" spans="1:18" x14ac:dyDescent="0.35">
      <c r="A769" s="29" t="s">
        <v>1</v>
      </c>
      <c r="B769" s="49" t="str">
        <f>VLOOKUP(B766,'Working BOQ'!A:K,11,0)</f>
        <v>sqm</v>
      </c>
      <c r="C769" s="41"/>
      <c r="D769" s="50"/>
      <c r="E769" s="50"/>
      <c r="F769" s="50"/>
      <c r="G769" s="50"/>
      <c r="H769" s="50"/>
      <c r="I769" s="50"/>
      <c r="J769" s="50"/>
      <c r="K769" s="41"/>
      <c r="L769" s="50"/>
      <c r="M769" s="50"/>
      <c r="N769" s="50"/>
      <c r="O769" s="50"/>
      <c r="P769" s="50"/>
      <c r="Q769" s="50"/>
      <c r="R769" s="50"/>
    </row>
    <row r="770" spans="1:18" s="6" customFormat="1" x14ac:dyDescent="0.35">
      <c r="A770" s="24" t="s">
        <v>110</v>
      </c>
      <c r="B770" s="5" t="s">
        <v>112</v>
      </c>
      <c r="C770" s="5" t="s">
        <v>111</v>
      </c>
      <c r="D770" s="16" t="s">
        <v>1200</v>
      </c>
      <c r="E770" s="16" t="s">
        <v>1200</v>
      </c>
      <c r="F770" s="16" t="s">
        <v>1452</v>
      </c>
      <c r="G770" s="16" t="s">
        <v>1453</v>
      </c>
      <c r="H770" s="16" t="s">
        <v>1454</v>
      </c>
      <c r="I770" s="16" t="s">
        <v>1455</v>
      </c>
      <c r="J770" s="16" t="s">
        <v>3</v>
      </c>
      <c r="K770" s="5" t="s">
        <v>1</v>
      </c>
      <c r="L770" s="16" t="s">
        <v>1456</v>
      </c>
      <c r="M770" s="16" t="s">
        <v>1457</v>
      </c>
      <c r="N770" s="16" t="s">
        <v>1458</v>
      </c>
      <c r="O770" s="16" t="s">
        <v>1459</v>
      </c>
      <c r="P770" s="16" t="s">
        <v>1122</v>
      </c>
      <c r="Q770" s="16" t="s">
        <v>1486</v>
      </c>
      <c r="R770" s="16" t="s">
        <v>1498</v>
      </c>
    </row>
    <row r="771" spans="1:18" x14ac:dyDescent="0.35">
      <c r="A771" s="27"/>
      <c r="B771" s="41"/>
      <c r="C771" s="41"/>
      <c r="D771" s="50"/>
      <c r="E771" s="50"/>
      <c r="F771" s="50"/>
      <c r="G771" s="50"/>
      <c r="H771" s="50"/>
      <c r="I771" s="50"/>
      <c r="J771" s="50"/>
      <c r="K771" s="41"/>
      <c r="L771" s="50"/>
      <c r="M771" s="50"/>
      <c r="N771" s="50"/>
      <c r="O771" s="50"/>
      <c r="P771" s="50"/>
      <c r="Q771" s="50"/>
      <c r="R771" s="50"/>
    </row>
    <row r="772" spans="1:18" x14ac:dyDescent="0.35">
      <c r="A772" s="26">
        <v>1</v>
      </c>
      <c r="B772" s="8" t="s">
        <v>1564</v>
      </c>
      <c r="C772" s="41" t="str">
        <f>VLOOKUP(B772,'Project Resource Master'!C:N,5,0)</f>
        <v>Scaffolding for Slabs</v>
      </c>
      <c r="D772" s="50">
        <v>1</v>
      </c>
      <c r="E772" s="50">
        <v>1</v>
      </c>
      <c r="F772" s="50">
        <v>1</v>
      </c>
      <c r="G772" s="50">
        <v>1</v>
      </c>
      <c r="H772" s="50">
        <v>1</v>
      </c>
      <c r="I772" s="50">
        <v>1</v>
      </c>
      <c r="J772" s="50">
        <f>PRODUCT(D772:I772)</f>
        <v>1</v>
      </c>
      <c r="K772" s="41" t="str">
        <f>VLOOKUP(B772,'Project Resource Master'!C:N,6,0)</f>
        <v>Cost</v>
      </c>
      <c r="L772" s="50">
        <f>VLOOKUP(B772,'Project Resource Master'!C:N,11,0)</f>
        <v>0</v>
      </c>
      <c r="M772" s="50">
        <f>J772*L772</f>
        <v>0</v>
      </c>
      <c r="N772" s="50">
        <f>+J772+M772</f>
        <v>1</v>
      </c>
      <c r="O772" s="50">
        <f>VLOOKUP(B772,'Project Resource Master'!C:N,12,0)</f>
        <v>80</v>
      </c>
      <c r="P772" s="50">
        <f>+O772*N772</f>
        <v>80</v>
      </c>
      <c r="Q772" s="50">
        <f>+N772*B768</f>
        <v>2000</v>
      </c>
      <c r="R772" s="50">
        <f>Q772*O772</f>
        <v>160000</v>
      </c>
    </row>
    <row r="773" spans="1:18" x14ac:dyDescent="0.35">
      <c r="A773" s="27"/>
      <c r="B773" s="41"/>
      <c r="C773" s="41"/>
      <c r="D773" s="50"/>
      <c r="E773" s="50"/>
      <c r="F773" s="50"/>
      <c r="G773" s="50"/>
      <c r="H773" s="50"/>
      <c r="I773" s="50"/>
      <c r="J773" s="50"/>
      <c r="K773" s="41"/>
      <c r="L773" s="50"/>
      <c r="M773" s="50"/>
      <c r="N773" s="50"/>
      <c r="O773" s="50"/>
      <c r="P773" s="50"/>
      <c r="Q773" s="50"/>
      <c r="R773" s="50"/>
    </row>
    <row r="774" spans="1:18" s="14" customFormat="1" x14ac:dyDescent="0.35">
      <c r="A774" s="29" t="str">
        <f>B766</f>
        <v>3j</v>
      </c>
      <c r="B774" s="7"/>
      <c r="C774" s="7" t="s">
        <v>1485</v>
      </c>
      <c r="D774" s="51"/>
      <c r="E774" s="51"/>
      <c r="F774" s="51"/>
      <c r="G774" s="51"/>
      <c r="H774" s="51"/>
      <c r="I774" s="51"/>
      <c r="J774" s="51"/>
      <c r="K774" s="7"/>
      <c r="L774" s="51"/>
      <c r="M774" s="51"/>
      <c r="N774" s="51"/>
      <c r="O774" s="51"/>
      <c r="P774" s="51">
        <f>SUM(P771:P773)</f>
        <v>80</v>
      </c>
      <c r="Q774" s="51"/>
      <c r="R774" s="51">
        <f>SUM(R771:R773)</f>
        <v>160000</v>
      </c>
    </row>
    <row r="777" spans="1:18" x14ac:dyDescent="0.35">
      <c r="A777" s="29" t="s">
        <v>1348</v>
      </c>
      <c r="B777" s="49" t="s">
        <v>1386</v>
      </c>
      <c r="C777" s="41"/>
      <c r="D777" s="50"/>
      <c r="E777" s="50"/>
      <c r="F777" s="50"/>
      <c r="G777" s="50"/>
      <c r="H777" s="50"/>
      <c r="I777" s="50"/>
      <c r="J777" s="50"/>
      <c r="K777" s="41"/>
      <c r="L777" s="50"/>
      <c r="M777" s="50"/>
      <c r="N777" s="50"/>
      <c r="O777" s="50"/>
      <c r="P777" s="50"/>
      <c r="Q777" s="50"/>
      <c r="R777" s="50"/>
    </row>
    <row r="778" spans="1:18" ht="29" x14ac:dyDescent="0.35">
      <c r="A778" s="29" t="s">
        <v>1450</v>
      </c>
      <c r="B778" s="49" t="str">
        <f>VLOOKUP(B777,'Working BOQ'!A:K,9,0)</f>
        <v>100mm Gypsum Partitions</v>
      </c>
      <c r="C778" s="41"/>
      <c r="D778" s="50"/>
      <c r="E778" s="50"/>
      <c r="F778" s="50"/>
      <c r="G778" s="50"/>
      <c r="H778" s="50"/>
      <c r="I778" s="50"/>
      <c r="J778" s="50"/>
      <c r="K778" s="41"/>
      <c r="L778" s="50"/>
      <c r="M778" s="50"/>
      <c r="N778" s="50"/>
      <c r="O778" s="50"/>
      <c r="P778" s="50"/>
      <c r="Q778" s="50"/>
      <c r="R778" s="50"/>
    </row>
    <row r="779" spans="1:18" x14ac:dyDescent="0.35">
      <c r="A779" s="29" t="s">
        <v>1451</v>
      </c>
      <c r="B779" s="49">
        <f>VLOOKUP(B777,'Working BOQ'!A:N,14,0)</f>
        <v>680</v>
      </c>
      <c r="C779" s="41"/>
      <c r="D779" s="50"/>
      <c r="E779" s="50"/>
      <c r="F779" s="50"/>
      <c r="G779" s="50"/>
      <c r="H779" s="50"/>
      <c r="I779" s="50"/>
      <c r="J779" s="50"/>
      <c r="K779" s="41"/>
      <c r="L779" s="50"/>
      <c r="M779" s="50"/>
      <c r="N779" s="50"/>
      <c r="O779" s="50"/>
      <c r="P779" s="50"/>
      <c r="Q779" s="50"/>
      <c r="R779" s="50"/>
    </row>
    <row r="780" spans="1:18" x14ac:dyDescent="0.35">
      <c r="A780" s="29" t="s">
        <v>1</v>
      </c>
      <c r="B780" s="49" t="str">
        <f>VLOOKUP(B777,'Working BOQ'!A:K,11,0)</f>
        <v>sqm</v>
      </c>
      <c r="C780" s="41"/>
      <c r="D780" s="50"/>
      <c r="E780" s="50"/>
      <c r="F780" s="50"/>
      <c r="G780" s="50"/>
      <c r="H780" s="50"/>
      <c r="I780" s="50"/>
      <c r="J780" s="50"/>
      <c r="K780" s="41"/>
      <c r="L780" s="50"/>
      <c r="M780" s="50"/>
      <c r="N780" s="50"/>
      <c r="O780" s="50"/>
      <c r="P780" s="50"/>
      <c r="Q780" s="50"/>
      <c r="R780" s="50"/>
    </row>
    <row r="781" spans="1:18" s="6" customFormat="1" x14ac:dyDescent="0.35">
      <c r="A781" s="24" t="s">
        <v>110</v>
      </c>
      <c r="B781" s="5" t="s">
        <v>112</v>
      </c>
      <c r="C781" s="5" t="s">
        <v>111</v>
      </c>
      <c r="D781" s="16" t="s">
        <v>1200</v>
      </c>
      <c r="E781" s="16" t="s">
        <v>1200</v>
      </c>
      <c r="F781" s="16" t="s">
        <v>1452</v>
      </c>
      <c r="G781" s="16" t="s">
        <v>1453</v>
      </c>
      <c r="H781" s="16" t="s">
        <v>1454</v>
      </c>
      <c r="I781" s="16" t="s">
        <v>1455</v>
      </c>
      <c r="J781" s="16" t="s">
        <v>3</v>
      </c>
      <c r="K781" s="5" t="s">
        <v>1</v>
      </c>
      <c r="L781" s="16" t="s">
        <v>1456</v>
      </c>
      <c r="M781" s="16" t="s">
        <v>1457</v>
      </c>
      <c r="N781" s="16" t="s">
        <v>1458</v>
      </c>
      <c r="O781" s="16" t="s">
        <v>1459</v>
      </c>
      <c r="P781" s="16" t="s">
        <v>1122</v>
      </c>
      <c r="Q781" s="16" t="s">
        <v>1486</v>
      </c>
      <c r="R781" s="16" t="s">
        <v>1498</v>
      </c>
    </row>
    <row r="782" spans="1:18" x14ac:dyDescent="0.35">
      <c r="A782" s="27"/>
      <c r="B782" s="41"/>
      <c r="C782" s="41"/>
      <c r="D782" s="50"/>
      <c r="E782" s="50"/>
      <c r="F782" s="50"/>
      <c r="G782" s="50"/>
      <c r="H782" s="50"/>
      <c r="I782" s="50"/>
      <c r="J782" s="50"/>
      <c r="K782" s="41"/>
      <c r="L782" s="50"/>
      <c r="M782" s="50"/>
      <c r="N782" s="50"/>
      <c r="O782" s="50"/>
      <c r="P782" s="50"/>
      <c r="Q782" s="50"/>
      <c r="R782" s="50"/>
    </row>
    <row r="783" spans="1:18" x14ac:dyDescent="0.35">
      <c r="A783" s="26">
        <v>1</v>
      </c>
      <c r="B783" s="8" t="s">
        <v>1565</v>
      </c>
      <c r="C783" s="41" t="str">
        <f>VLOOKUP(B783,'Project Resource Master'!C:N,5,0)</f>
        <v>100mm Gypsum Partitions</v>
      </c>
      <c r="D783" s="50">
        <v>1</v>
      </c>
      <c r="E783" s="50">
        <v>1</v>
      </c>
      <c r="F783" s="50">
        <v>1</v>
      </c>
      <c r="G783" s="50">
        <v>1</v>
      </c>
      <c r="H783" s="50">
        <v>1</v>
      </c>
      <c r="I783" s="50">
        <v>1</v>
      </c>
      <c r="J783" s="50">
        <f>PRODUCT(D783:I783)</f>
        <v>1</v>
      </c>
      <c r="K783" s="41" t="str">
        <f>VLOOKUP(B783,'Project Resource Master'!C:N,6,0)</f>
        <v>Cost</v>
      </c>
      <c r="L783" s="50">
        <f>VLOOKUP(B783,'Project Resource Master'!C:N,11,0)</f>
        <v>0</v>
      </c>
      <c r="M783" s="50">
        <f>J783*L783</f>
        <v>0</v>
      </c>
      <c r="N783" s="50">
        <f>+J783+M783</f>
        <v>1</v>
      </c>
      <c r="O783" s="50">
        <f>VLOOKUP(B783,'Project Resource Master'!C:N,12,0)</f>
        <v>125</v>
      </c>
      <c r="P783" s="50">
        <f>+O783*N783</f>
        <v>125</v>
      </c>
      <c r="Q783" s="50">
        <f>+N783*B779</f>
        <v>680</v>
      </c>
      <c r="R783" s="50">
        <f>Q783*O783</f>
        <v>85000</v>
      </c>
    </row>
    <row r="784" spans="1:18" x14ac:dyDescent="0.35">
      <c r="A784" s="27"/>
      <c r="B784" s="41"/>
      <c r="C784" s="41"/>
      <c r="D784" s="50"/>
      <c r="E784" s="50"/>
      <c r="F784" s="50"/>
      <c r="G784" s="50"/>
      <c r="H784" s="50"/>
      <c r="I784" s="50"/>
      <c r="J784" s="50"/>
      <c r="K784" s="41"/>
      <c r="L784" s="50"/>
      <c r="M784" s="50"/>
      <c r="N784" s="50"/>
      <c r="O784" s="50"/>
      <c r="P784" s="50"/>
      <c r="Q784" s="50"/>
      <c r="R784" s="50"/>
    </row>
    <row r="785" spans="1:18" s="14" customFormat="1" x14ac:dyDescent="0.35">
      <c r="A785" s="29" t="str">
        <f>B777</f>
        <v>3k</v>
      </c>
      <c r="B785" s="7"/>
      <c r="C785" s="7" t="s">
        <v>1485</v>
      </c>
      <c r="D785" s="51"/>
      <c r="E785" s="51"/>
      <c r="F785" s="51"/>
      <c r="G785" s="51"/>
      <c r="H785" s="51"/>
      <c r="I785" s="51"/>
      <c r="J785" s="51"/>
      <c r="K785" s="7"/>
      <c r="L785" s="51"/>
      <c r="M785" s="51"/>
      <c r="N785" s="51"/>
      <c r="O785" s="51"/>
      <c r="P785" s="51">
        <f>SUM(P782:P784)</f>
        <v>125</v>
      </c>
      <c r="Q785" s="51"/>
      <c r="R785" s="51">
        <f>SUM(R782:R784)</f>
        <v>85000</v>
      </c>
    </row>
    <row r="788" spans="1:18" x14ac:dyDescent="0.35">
      <c r="A788" s="29" t="s">
        <v>1348</v>
      </c>
      <c r="B788" s="49" t="s">
        <v>1387</v>
      </c>
      <c r="C788" s="41"/>
      <c r="D788" s="50"/>
      <c r="E788" s="50"/>
      <c r="F788" s="50"/>
      <c r="G788" s="50"/>
      <c r="H788" s="50"/>
      <c r="I788" s="50"/>
      <c r="J788" s="50"/>
      <c r="K788" s="41"/>
      <c r="L788" s="50"/>
      <c r="M788" s="50"/>
      <c r="N788" s="50"/>
      <c r="O788" s="50"/>
      <c r="P788" s="50"/>
      <c r="Q788" s="50"/>
      <c r="R788" s="50"/>
    </row>
    <row r="789" spans="1:18" ht="29" x14ac:dyDescent="0.35">
      <c r="A789" s="29" t="s">
        <v>1450</v>
      </c>
      <c r="B789" s="49" t="str">
        <f>VLOOKUP(B788,'Working BOQ'!A:K,9,0)</f>
        <v>150mm Gypsum Partitions</v>
      </c>
      <c r="C789" s="41"/>
      <c r="D789" s="50"/>
      <c r="E789" s="50"/>
      <c r="F789" s="50"/>
      <c r="G789" s="50"/>
      <c r="H789" s="50"/>
      <c r="I789" s="50"/>
      <c r="J789" s="50"/>
      <c r="K789" s="41"/>
      <c r="L789" s="50"/>
      <c r="M789" s="50"/>
      <c r="N789" s="50"/>
      <c r="O789" s="50"/>
      <c r="P789" s="50"/>
      <c r="Q789" s="50"/>
      <c r="R789" s="50"/>
    </row>
    <row r="790" spans="1:18" x14ac:dyDescent="0.35">
      <c r="A790" s="29" t="s">
        <v>1451</v>
      </c>
      <c r="B790" s="49">
        <f>VLOOKUP(B788,'Working BOQ'!A:N,14,0)</f>
        <v>680</v>
      </c>
      <c r="C790" s="41"/>
      <c r="D790" s="50"/>
      <c r="E790" s="50"/>
      <c r="F790" s="50"/>
      <c r="G790" s="50"/>
      <c r="H790" s="50"/>
      <c r="I790" s="50"/>
      <c r="J790" s="50"/>
      <c r="K790" s="41"/>
      <c r="L790" s="50"/>
      <c r="M790" s="50"/>
      <c r="N790" s="50"/>
      <c r="O790" s="50"/>
      <c r="P790" s="50"/>
      <c r="Q790" s="50"/>
      <c r="R790" s="50"/>
    </row>
    <row r="791" spans="1:18" x14ac:dyDescent="0.35">
      <c r="A791" s="29" t="s">
        <v>1</v>
      </c>
      <c r="B791" s="49" t="str">
        <f>VLOOKUP(B788,'Working BOQ'!A:K,11,0)</f>
        <v>sqm</v>
      </c>
      <c r="C791" s="41"/>
      <c r="D791" s="50"/>
      <c r="E791" s="50"/>
      <c r="F791" s="50"/>
      <c r="G791" s="50"/>
      <c r="H791" s="50"/>
      <c r="I791" s="50"/>
      <c r="J791" s="50"/>
      <c r="K791" s="41"/>
      <c r="L791" s="50"/>
      <c r="M791" s="50"/>
      <c r="N791" s="50"/>
      <c r="O791" s="50"/>
      <c r="P791" s="50"/>
      <c r="Q791" s="50"/>
      <c r="R791" s="50"/>
    </row>
    <row r="792" spans="1:18" s="6" customFormat="1" x14ac:dyDescent="0.35">
      <c r="A792" s="24" t="s">
        <v>110</v>
      </c>
      <c r="B792" s="5" t="s">
        <v>112</v>
      </c>
      <c r="C792" s="5" t="s">
        <v>111</v>
      </c>
      <c r="D792" s="16" t="s">
        <v>1200</v>
      </c>
      <c r="E792" s="16" t="s">
        <v>1200</v>
      </c>
      <c r="F792" s="16" t="s">
        <v>1452</v>
      </c>
      <c r="G792" s="16" t="s">
        <v>1453</v>
      </c>
      <c r="H792" s="16" t="s">
        <v>1454</v>
      </c>
      <c r="I792" s="16" t="s">
        <v>1455</v>
      </c>
      <c r="J792" s="16" t="s">
        <v>3</v>
      </c>
      <c r="K792" s="5" t="s">
        <v>1</v>
      </c>
      <c r="L792" s="16" t="s">
        <v>1456</v>
      </c>
      <c r="M792" s="16" t="s">
        <v>1457</v>
      </c>
      <c r="N792" s="16" t="s">
        <v>1458</v>
      </c>
      <c r="O792" s="16" t="s">
        <v>1459</v>
      </c>
      <c r="P792" s="16" t="s">
        <v>1122</v>
      </c>
      <c r="Q792" s="16" t="s">
        <v>1486</v>
      </c>
      <c r="R792" s="16" t="s">
        <v>1498</v>
      </c>
    </row>
    <row r="793" spans="1:18" x14ac:dyDescent="0.35">
      <c r="A793" s="27"/>
      <c r="B793" s="41"/>
      <c r="C793" s="41"/>
      <c r="D793" s="50"/>
      <c r="E793" s="50"/>
      <c r="F793" s="50"/>
      <c r="G793" s="50"/>
      <c r="H793" s="50"/>
      <c r="I793" s="50"/>
      <c r="J793" s="50"/>
      <c r="K793" s="41"/>
      <c r="L793" s="50"/>
      <c r="M793" s="50"/>
      <c r="N793" s="50"/>
      <c r="O793" s="50"/>
      <c r="P793" s="50"/>
      <c r="Q793" s="50"/>
      <c r="R793" s="50"/>
    </row>
    <row r="794" spans="1:18" x14ac:dyDescent="0.35">
      <c r="A794" s="26">
        <v>1</v>
      </c>
      <c r="B794" s="8" t="s">
        <v>1566</v>
      </c>
      <c r="C794" s="41" t="str">
        <f>VLOOKUP(B794,'Project Resource Master'!C:N,5,0)</f>
        <v>150mm Gypsum Partitions</v>
      </c>
      <c r="D794" s="50">
        <v>1</v>
      </c>
      <c r="E794" s="50">
        <v>1</v>
      </c>
      <c r="F794" s="50">
        <v>1</v>
      </c>
      <c r="G794" s="50">
        <v>1</v>
      </c>
      <c r="H794" s="50">
        <v>1</v>
      </c>
      <c r="I794" s="50">
        <v>1</v>
      </c>
      <c r="J794" s="50">
        <f>PRODUCT(D794:I794)</f>
        <v>1</v>
      </c>
      <c r="K794" s="41" t="str">
        <f>VLOOKUP(B794,'Project Resource Master'!C:N,6,0)</f>
        <v>Cost</v>
      </c>
      <c r="L794" s="50">
        <f>VLOOKUP(B794,'Project Resource Master'!C:N,11,0)</f>
        <v>0</v>
      </c>
      <c r="M794" s="50">
        <f>J794*L794</f>
        <v>0</v>
      </c>
      <c r="N794" s="50">
        <f>+J794+M794</f>
        <v>1</v>
      </c>
      <c r="O794" s="50">
        <f>VLOOKUP(B794,'Project Resource Master'!C:N,12,0)</f>
        <v>100</v>
      </c>
      <c r="P794" s="50">
        <f>+O794*N794</f>
        <v>100</v>
      </c>
      <c r="Q794" s="50">
        <f>+N794*B790</f>
        <v>680</v>
      </c>
      <c r="R794" s="50">
        <f>Q794*O794</f>
        <v>68000</v>
      </c>
    </row>
    <row r="795" spans="1:18" x14ac:dyDescent="0.35">
      <c r="A795" s="27"/>
      <c r="B795" s="41"/>
      <c r="C795" s="41"/>
      <c r="D795" s="50"/>
      <c r="E795" s="50"/>
      <c r="F795" s="50"/>
      <c r="G795" s="50"/>
      <c r="H795" s="50"/>
      <c r="I795" s="50"/>
      <c r="J795" s="50"/>
      <c r="K795" s="41"/>
      <c r="L795" s="50"/>
      <c r="M795" s="50"/>
      <c r="N795" s="50"/>
      <c r="O795" s="50"/>
      <c r="P795" s="50"/>
      <c r="Q795" s="50"/>
      <c r="R795" s="50"/>
    </row>
    <row r="796" spans="1:18" s="14" customFormat="1" x14ac:dyDescent="0.35">
      <c r="A796" s="29" t="str">
        <f>B788</f>
        <v>3l</v>
      </c>
      <c r="B796" s="7"/>
      <c r="C796" s="7" t="s">
        <v>1485</v>
      </c>
      <c r="D796" s="51"/>
      <c r="E796" s="51"/>
      <c r="F796" s="51"/>
      <c r="G796" s="51"/>
      <c r="H796" s="51"/>
      <c r="I796" s="51"/>
      <c r="J796" s="51"/>
      <c r="K796" s="7"/>
      <c r="L796" s="51"/>
      <c r="M796" s="51"/>
      <c r="N796" s="51"/>
      <c r="O796" s="51"/>
      <c r="P796" s="51">
        <f>SUM(P793:P795)</f>
        <v>100</v>
      </c>
      <c r="Q796" s="51"/>
      <c r="R796" s="51">
        <f>SUM(R793:R795)</f>
        <v>68000</v>
      </c>
    </row>
    <row r="799" spans="1:18" x14ac:dyDescent="0.35">
      <c r="A799" s="29" t="s">
        <v>1348</v>
      </c>
      <c r="B799" s="49" t="s">
        <v>1388</v>
      </c>
      <c r="C799" s="41"/>
      <c r="D799" s="50"/>
      <c r="E799" s="50"/>
      <c r="F799" s="50"/>
      <c r="G799" s="50"/>
      <c r="H799" s="50"/>
      <c r="I799" s="50"/>
      <c r="J799" s="50"/>
      <c r="K799" s="41"/>
      <c r="L799" s="50"/>
      <c r="M799" s="50"/>
      <c r="N799" s="50"/>
      <c r="O799" s="50"/>
      <c r="P799" s="50"/>
      <c r="Q799" s="50"/>
      <c r="R799" s="50"/>
    </row>
    <row r="800" spans="1:18" ht="29" x14ac:dyDescent="0.35">
      <c r="A800" s="29" t="s">
        <v>1450</v>
      </c>
      <c r="B800" s="49" t="str">
        <f>VLOOKUP(B799,'Working BOQ'!A:K,9,0)</f>
        <v>200mm Gypsum Partitions</v>
      </c>
      <c r="C800" s="41"/>
      <c r="D800" s="50"/>
      <c r="E800" s="50"/>
      <c r="F800" s="50"/>
      <c r="G800" s="50"/>
      <c r="H800" s="50"/>
      <c r="I800" s="50"/>
      <c r="J800" s="50"/>
      <c r="K800" s="41"/>
      <c r="L800" s="50"/>
      <c r="M800" s="50"/>
      <c r="N800" s="50"/>
      <c r="O800" s="50"/>
      <c r="P800" s="50"/>
      <c r="Q800" s="50"/>
      <c r="R800" s="50"/>
    </row>
    <row r="801" spans="1:18" x14ac:dyDescent="0.35">
      <c r="A801" s="29" t="s">
        <v>1451</v>
      </c>
      <c r="B801" s="49">
        <f>VLOOKUP(B799,'Working BOQ'!A:N,14,0)</f>
        <v>680</v>
      </c>
      <c r="C801" s="41"/>
      <c r="D801" s="50"/>
      <c r="E801" s="50"/>
      <c r="F801" s="50"/>
      <c r="G801" s="50"/>
      <c r="H801" s="50"/>
      <c r="I801" s="50"/>
      <c r="J801" s="50"/>
      <c r="K801" s="41"/>
      <c r="L801" s="50"/>
      <c r="M801" s="50"/>
      <c r="N801" s="50"/>
      <c r="O801" s="50"/>
      <c r="P801" s="50"/>
      <c r="Q801" s="50"/>
      <c r="R801" s="50"/>
    </row>
    <row r="802" spans="1:18" x14ac:dyDescent="0.35">
      <c r="A802" s="29" t="s">
        <v>1</v>
      </c>
      <c r="B802" s="49" t="str">
        <f>VLOOKUP(B799,'Working BOQ'!A:K,11,0)</f>
        <v>sqm</v>
      </c>
      <c r="C802" s="41"/>
      <c r="D802" s="50"/>
      <c r="E802" s="50"/>
      <c r="F802" s="50"/>
      <c r="G802" s="50"/>
      <c r="H802" s="50"/>
      <c r="I802" s="50"/>
      <c r="J802" s="50"/>
      <c r="K802" s="41"/>
      <c r="L802" s="50"/>
      <c r="M802" s="50"/>
      <c r="N802" s="50"/>
      <c r="O802" s="50"/>
      <c r="P802" s="50"/>
      <c r="Q802" s="50"/>
      <c r="R802" s="50"/>
    </row>
    <row r="803" spans="1:18" s="6" customFormat="1" x14ac:dyDescent="0.35">
      <c r="A803" s="24" t="s">
        <v>110</v>
      </c>
      <c r="B803" s="5" t="s">
        <v>112</v>
      </c>
      <c r="C803" s="5" t="s">
        <v>111</v>
      </c>
      <c r="D803" s="16" t="s">
        <v>1200</v>
      </c>
      <c r="E803" s="16" t="s">
        <v>1200</v>
      </c>
      <c r="F803" s="16" t="s">
        <v>1452</v>
      </c>
      <c r="G803" s="16" t="s">
        <v>1453</v>
      </c>
      <c r="H803" s="16" t="s">
        <v>1454</v>
      </c>
      <c r="I803" s="16" t="s">
        <v>1455</v>
      </c>
      <c r="J803" s="16" t="s">
        <v>3</v>
      </c>
      <c r="K803" s="5" t="s">
        <v>1</v>
      </c>
      <c r="L803" s="16" t="s">
        <v>1456</v>
      </c>
      <c r="M803" s="16" t="s">
        <v>1457</v>
      </c>
      <c r="N803" s="16" t="s">
        <v>1458</v>
      </c>
      <c r="O803" s="16" t="s">
        <v>1459</v>
      </c>
      <c r="P803" s="16" t="s">
        <v>1122</v>
      </c>
      <c r="Q803" s="16" t="s">
        <v>1486</v>
      </c>
      <c r="R803" s="16" t="s">
        <v>1498</v>
      </c>
    </row>
    <row r="804" spans="1:18" x14ac:dyDescent="0.35">
      <c r="A804" s="27"/>
      <c r="B804" s="41"/>
      <c r="C804" s="41"/>
      <c r="D804" s="50"/>
      <c r="E804" s="50"/>
      <c r="F804" s="50"/>
      <c r="G804" s="50"/>
      <c r="H804" s="50"/>
      <c r="I804" s="50"/>
      <c r="J804" s="50"/>
      <c r="K804" s="41"/>
      <c r="L804" s="50"/>
      <c r="M804" s="50"/>
      <c r="N804" s="50"/>
      <c r="O804" s="50"/>
      <c r="P804" s="50"/>
      <c r="Q804" s="50"/>
      <c r="R804" s="50"/>
    </row>
    <row r="805" spans="1:18" x14ac:dyDescent="0.35">
      <c r="A805" s="26">
        <v>1</v>
      </c>
      <c r="B805" s="8" t="s">
        <v>1567</v>
      </c>
      <c r="C805" s="41" t="str">
        <f>VLOOKUP(B805,'Project Resource Master'!C:N,5,0)</f>
        <v>200mm Gypsum Partitions</v>
      </c>
      <c r="D805" s="50">
        <v>1</v>
      </c>
      <c r="E805" s="50">
        <v>1</v>
      </c>
      <c r="F805" s="50">
        <v>1</v>
      </c>
      <c r="G805" s="50">
        <v>1</v>
      </c>
      <c r="H805" s="50">
        <v>1</v>
      </c>
      <c r="I805" s="50">
        <v>1</v>
      </c>
      <c r="J805" s="50">
        <f>PRODUCT(D805:I805)</f>
        <v>1</v>
      </c>
      <c r="K805" s="41" t="str">
        <f>VLOOKUP(B805,'Project Resource Master'!C:N,6,0)</f>
        <v>Cost</v>
      </c>
      <c r="L805" s="50">
        <f>VLOOKUP(B805,'Project Resource Master'!C:N,11,0)</f>
        <v>0</v>
      </c>
      <c r="M805" s="50">
        <f>J805*L805</f>
        <v>0</v>
      </c>
      <c r="N805" s="50">
        <f>+J805+M805</f>
        <v>1</v>
      </c>
      <c r="O805" s="50">
        <f>VLOOKUP(B805,'Project Resource Master'!C:N,12,0)</f>
        <v>50</v>
      </c>
      <c r="P805" s="50">
        <f>+O805*N805</f>
        <v>50</v>
      </c>
      <c r="Q805" s="50">
        <f>+N805*B801</f>
        <v>680</v>
      </c>
      <c r="R805" s="50">
        <f>Q805*O805</f>
        <v>34000</v>
      </c>
    </row>
    <row r="806" spans="1:18" x14ac:dyDescent="0.35">
      <c r="A806" s="27"/>
      <c r="B806" s="41"/>
      <c r="C806" s="41"/>
      <c r="D806" s="50"/>
      <c r="E806" s="50"/>
      <c r="F806" s="50"/>
      <c r="G806" s="50"/>
      <c r="H806" s="50"/>
      <c r="I806" s="50"/>
      <c r="J806" s="50"/>
      <c r="K806" s="41"/>
      <c r="L806" s="50"/>
      <c r="M806" s="50"/>
      <c r="N806" s="50"/>
      <c r="O806" s="50"/>
      <c r="P806" s="50"/>
      <c r="Q806" s="50"/>
      <c r="R806" s="50"/>
    </row>
    <row r="807" spans="1:18" s="14" customFormat="1" x14ac:dyDescent="0.35">
      <c r="A807" s="29" t="str">
        <f>B799</f>
        <v>3m</v>
      </c>
      <c r="B807" s="7"/>
      <c r="C807" s="7" t="s">
        <v>1485</v>
      </c>
      <c r="D807" s="51"/>
      <c r="E807" s="51"/>
      <c r="F807" s="51"/>
      <c r="G807" s="51"/>
      <c r="H807" s="51"/>
      <c r="I807" s="51"/>
      <c r="J807" s="51"/>
      <c r="K807" s="7"/>
      <c r="L807" s="51"/>
      <c r="M807" s="51"/>
      <c r="N807" s="51"/>
      <c r="O807" s="51"/>
      <c r="P807" s="51">
        <f>SUM(P804:P806)</f>
        <v>50</v>
      </c>
      <c r="Q807" s="51"/>
      <c r="R807" s="51">
        <f>SUM(R804:R806)</f>
        <v>34000</v>
      </c>
    </row>
    <row r="810" spans="1:18" x14ac:dyDescent="0.35">
      <c r="A810" s="29" t="s">
        <v>1348</v>
      </c>
      <c r="B810" s="49" t="s">
        <v>1397</v>
      </c>
      <c r="C810" s="41"/>
      <c r="D810" s="50"/>
      <c r="E810" s="50"/>
      <c r="F810" s="50"/>
      <c r="G810" s="50"/>
      <c r="H810" s="50"/>
      <c r="I810" s="50"/>
      <c r="J810" s="50"/>
      <c r="K810" s="41"/>
      <c r="L810" s="50"/>
      <c r="M810" s="50"/>
      <c r="N810" s="50"/>
      <c r="O810" s="50"/>
      <c r="P810" s="50"/>
      <c r="Q810" s="50"/>
      <c r="R810" s="50"/>
    </row>
    <row r="811" spans="1:18" ht="29" x14ac:dyDescent="0.35">
      <c r="A811" s="29" t="s">
        <v>1450</v>
      </c>
      <c r="B811" s="49" t="str">
        <f>VLOOKUP(B810,'Working BOQ'!A:K,9,0)</f>
        <v>600x600mm Porcelain Tile Flooring</v>
      </c>
      <c r="C811" s="41"/>
      <c r="D811" s="50"/>
      <c r="E811" s="50"/>
      <c r="F811" s="50"/>
      <c r="G811" s="50"/>
      <c r="H811" s="50"/>
      <c r="I811" s="50"/>
      <c r="J811" s="50"/>
      <c r="K811" s="41"/>
      <c r="L811" s="50"/>
      <c r="M811" s="50"/>
      <c r="N811" s="50"/>
      <c r="O811" s="50"/>
      <c r="P811" s="50"/>
      <c r="Q811" s="50"/>
      <c r="R811" s="50"/>
    </row>
    <row r="812" spans="1:18" x14ac:dyDescent="0.35">
      <c r="A812" s="29" t="s">
        <v>1451</v>
      </c>
      <c r="B812" s="49">
        <f>VLOOKUP(B810,'Working BOQ'!A:N,14,0)</f>
        <v>1500</v>
      </c>
      <c r="C812" s="41"/>
      <c r="D812" s="50"/>
      <c r="E812" s="50"/>
      <c r="F812" s="50"/>
      <c r="G812" s="50"/>
      <c r="H812" s="50"/>
      <c r="I812" s="50"/>
      <c r="J812" s="50"/>
      <c r="K812" s="41"/>
      <c r="L812" s="50"/>
      <c r="M812" s="50"/>
      <c r="N812" s="50"/>
      <c r="O812" s="50"/>
      <c r="P812" s="50"/>
      <c r="Q812" s="50"/>
      <c r="R812" s="50"/>
    </row>
    <row r="813" spans="1:18" x14ac:dyDescent="0.35">
      <c r="A813" s="29" t="s">
        <v>1</v>
      </c>
      <c r="B813" s="49" t="str">
        <f>VLOOKUP(B810,'Working BOQ'!A:K,11,0)</f>
        <v>sqm</v>
      </c>
      <c r="C813" s="41"/>
      <c r="D813" s="50"/>
      <c r="E813" s="50"/>
      <c r="F813" s="50"/>
      <c r="G813" s="50"/>
      <c r="H813" s="50"/>
      <c r="I813" s="50"/>
      <c r="J813" s="50"/>
      <c r="K813" s="41"/>
      <c r="L813" s="50"/>
      <c r="M813" s="50"/>
      <c r="N813" s="50"/>
      <c r="O813" s="50"/>
      <c r="P813" s="50"/>
      <c r="Q813" s="50"/>
      <c r="R813" s="50"/>
    </row>
    <row r="814" spans="1:18" s="6" customFormat="1" x14ac:dyDescent="0.35">
      <c r="A814" s="24" t="s">
        <v>110</v>
      </c>
      <c r="B814" s="5" t="s">
        <v>112</v>
      </c>
      <c r="C814" s="5" t="s">
        <v>111</v>
      </c>
      <c r="D814" s="16" t="s">
        <v>1200</v>
      </c>
      <c r="E814" s="16" t="s">
        <v>1200</v>
      </c>
      <c r="F814" s="16" t="s">
        <v>1452</v>
      </c>
      <c r="G814" s="16" t="s">
        <v>1453</v>
      </c>
      <c r="H814" s="16" t="s">
        <v>1454</v>
      </c>
      <c r="I814" s="16" t="s">
        <v>1455</v>
      </c>
      <c r="J814" s="16" t="s">
        <v>3</v>
      </c>
      <c r="K814" s="5" t="s">
        <v>1</v>
      </c>
      <c r="L814" s="16" t="s">
        <v>1456</v>
      </c>
      <c r="M814" s="16" t="s">
        <v>1457</v>
      </c>
      <c r="N814" s="16" t="s">
        <v>1458</v>
      </c>
      <c r="O814" s="16" t="s">
        <v>1459</v>
      </c>
      <c r="P814" s="16" t="s">
        <v>1122</v>
      </c>
      <c r="Q814" s="16" t="s">
        <v>1486</v>
      </c>
      <c r="R814" s="16" t="s">
        <v>1498</v>
      </c>
    </row>
    <row r="815" spans="1:18" x14ac:dyDescent="0.35">
      <c r="A815" s="27"/>
      <c r="B815" s="41"/>
      <c r="C815" s="41"/>
      <c r="D815" s="50"/>
      <c r="E815" s="50"/>
      <c r="F815" s="50"/>
      <c r="G815" s="50"/>
      <c r="H815" s="50"/>
      <c r="I815" s="50"/>
      <c r="J815" s="50"/>
      <c r="K815" s="41"/>
      <c r="L815" s="50"/>
      <c r="M815" s="50"/>
      <c r="N815" s="50"/>
      <c r="O815" s="50"/>
      <c r="P815" s="50"/>
      <c r="Q815" s="50"/>
      <c r="R815" s="50"/>
    </row>
    <row r="816" spans="1:18" x14ac:dyDescent="0.35">
      <c r="A816" s="26">
        <v>1</v>
      </c>
      <c r="B816" s="8" t="s">
        <v>1568</v>
      </c>
      <c r="C816" s="41" t="str">
        <f>VLOOKUP(B816,'Project Resource Master'!C:N,5,0)</f>
        <v>600x600mm Porcelain Tile Flooring</v>
      </c>
      <c r="D816" s="50">
        <v>1</v>
      </c>
      <c r="E816" s="50">
        <v>1</v>
      </c>
      <c r="F816" s="50">
        <v>1</v>
      </c>
      <c r="G816" s="50">
        <v>1</v>
      </c>
      <c r="H816" s="50">
        <v>1</v>
      </c>
      <c r="I816" s="50">
        <v>1</v>
      </c>
      <c r="J816" s="50">
        <f>PRODUCT(D816:I816)</f>
        <v>1</v>
      </c>
      <c r="K816" s="41" t="str">
        <f>VLOOKUP(B816,'Project Resource Master'!C:N,6,0)</f>
        <v>Cost</v>
      </c>
      <c r="L816" s="50">
        <f>VLOOKUP(B816,'Project Resource Master'!C:N,11,0)</f>
        <v>0</v>
      </c>
      <c r="M816" s="50">
        <f>J816*L816</f>
        <v>0</v>
      </c>
      <c r="N816" s="50">
        <f>+J816+M816</f>
        <v>1</v>
      </c>
      <c r="O816" s="50">
        <f>VLOOKUP(B816,'Project Resource Master'!C:N,12,0)</f>
        <v>125</v>
      </c>
      <c r="P816" s="50">
        <f>+O816*N816</f>
        <v>125</v>
      </c>
      <c r="Q816" s="50">
        <f>+N816*B812</f>
        <v>1500</v>
      </c>
      <c r="R816" s="50">
        <f>Q816*O816</f>
        <v>187500</v>
      </c>
    </row>
    <row r="817" spans="1:18" x14ac:dyDescent="0.35">
      <c r="A817" s="27"/>
      <c r="B817" s="41"/>
      <c r="C817" s="41"/>
      <c r="D817" s="50"/>
      <c r="E817" s="50"/>
      <c r="F817" s="50"/>
      <c r="G817" s="50"/>
      <c r="H817" s="50"/>
      <c r="I817" s="50"/>
      <c r="J817" s="50"/>
      <c r="K817" s="41"/>
      <c r="L817" s="50"/>
      <c r="M817" s="50"/>
      <c r="N817" s="50"/>
      <c r="O817" s="50"/>
      <c r="P817" s="50"/>
      <c r="Q817" s="50"/>
      <c r="R817" s="50"/>
    </row>
    <row r="818" spans="1:18" s="14" customFormat="1" x14ac:dyDescent="0.35">
      <c r="A818" s="29" t="str">
        <f>B810</f>
        <v>4f</v>
      </c>
      <c r="B818" s="7"/>
      <c r="C818" s="7" t="s">
        <v>1485</v>
      </c>
      <c r="D818" s="51"/>
      <c r="E818" s="51"/>
      <c r="F818" s="51"/>
      <c r="G818" s="51"/>
      <c r="H818" s="51"/>
      <c r="I818" s="51"/>
      <c r="J818" s="51"/>
      <c r="K818" s="7"/>
      <c r="L818" s="51"/>
      <c r="M818" s="51"/>
      <c r="N818" s="51"/>
      <c r="O818" s="51"/>
      <c r="P818" s="51">
        <f>SUM(P815:P817)</f>
        <v>125</v>
      </c>
      <c r="Q818" s="51"/>
      <c r="R818" s="51">
        <f>SUM(R815:R817)</f>
        <v>187500</v>
      </c>
    </row>
    <row r="821" spans="1:18" x14ac:dyDescent="0.35">
      <c r="A821" s="29" t="s">
        <v>1348</v>
      </c>
      <c r="B821" s="49" t="s">
        <v>1398</v>
      </c>
      <c r="C821" s="41"/>
      <c r="D821" s="50"/>
      <c r="E821" s="50"/>
      <c r="F821" s="50"/>
      <c r="G821" s="50"/>
      <c r="H821" s="50"/>
      <c r="I821" s="50"/>
      <c r="J821" s="50"/>
      <c r="K821" s="41"/>
      <c r="L821" s="50"/>
      <c r="M821" s="50"/>
      <c r="N821" s="50"/>
      <c r="O821" s="50"/>
      <c r="P821" s="50"/>
      <c r="Q821" s="50"/>
      <c r="R821" s="50"/>
    </row>
    <row r="822" spans="1:18" ht="29" x14ac:dyDescent="0.35">
      <c r="A822" s="29" t="s">
        <v>1450</v>
      </c>
      <c r="B822" s="49" t="str">
        <f>VLOOKUP(B821,'Working BOQ'!A:K,9,0)</f>
        <v>Interior Emulsion Paint Finish</v>
      </c>
      <c r="C822" s="41"/>
      <c r="D822" s="50"/>
      <c r="E822" s="50"/>
      <c r="F822" s="50"/>
      <c r="G822" s="50"/>
      <c r="H822" s="50"/>
      <c r="I822" s="50"/>
      <c r="J822" s="50"/>
      <c r="K822" s="41"/>
      <c r="L822" s="50"/>
      <c r="M822" s="50"/>
      <c r="N822" s="50"/>
      <c r="O822" s="50"/>
      <c r="P822" s="50"/>
      <c r="Q822" s="50"/>
      <c r="R822" s="50"/>
    </row>
    <row r="823" spans="1:18" x14ac:dyDescent="0.35">
      <c r="A823" s="29" t="s">
        <v>1451</v>
      </c>
      <c r="B823" s="49">
        <f>VLOOKUP(B821,'Working BOQ'!A:N,14,0)</f>
        <v>3720</v>
      </c>
      <c r="C823" s="41"/>
      <c r="D823" s="50"/>
      <c r="E823" s="50"/>
      <c r="F823" s="50"/>
      <c r="G823" s="50"/>
      <c r="H823" s="50"/>
      <c r="I823" s="50"/>
      <c r="J823" s="50"/>
      <c r="K823" s="41"/>
      <c r="L823" s="50"/>
      <c r="M823" s="50"/>
      <c r="N823" s="50"/>
      <c r="O823" s="50"/>
      <c r="P823" s="50"/>
      <c r="Q823" s="50"/>
      <c r="R823" s="50"/>
    </row>
    <row r="824" spans="1:18" x14ac:dyDescent="0.35">
      <c r="A824" s="29" t="s">
        <v>1</v>
      </c>
      <c r="B824" s="49" t="str">
        <f>VLOOKUP(B821,'Working BOQ'!A:K,11,0)</f>
        <v>sqm</v>
      </c>
      <c r="C824" s="41"/>
      <c r="D824" s="50"/>
      <c r="E824" s="50"/>
      <c r="F824" s="50"/>
      <c r="G824" s="50"/>
      <c r="H824" s="50"/>
      <c r="I824" s="50"/>
      <c r="J824" s="50"/>
      <c r="K824" s="41"/>
      <c r="L824" s="50"/>
      <c r="M824" s="50"/>
      <c r="N824" s="50"/>
      <c r="O824" s="50"/>
      <c r="P824" s="50"/>
      <c r="Q824" s="50"/>
      <c r="R824" s="50"/>
    </row>
    <row r="825" spans="1:18" s="6" customFormat="1" x14ac:dyDescent="0.35">
      <c r="A825" s="24" t="s">
        <v>110</v>
      </c>
      <c r="B825" s="5" t="s">
        <v>112</v>
      </c>
      <c r="C825" s="5" t="s">
        <v>111</v>
      </c>
      <c r="D825" s="16" t="s">
        <v>1200</v>
      </c>
      <c r="E825" s="16" t="s">
        <v>1200</v>
      </c>
      <c r="F825" s="16" t="s">
        <v>1452</v>
      </c>
      <c r="G825" s="16" t="s">
        <v>1453</v>
      </c>
      <c r="H825" s="16" t="s">
        <v>1454</v>
      </c>
      <c r="I825" s="16" t="s">
        <v>1455</v>
      </c>
      <c r="J825" s="16" t="s">
        <v>3</v>
      </c>
      <c r="K825" s="5" t="s">
        <v>1</v>
      </c>
      <c r="L825" s="16" t="s">
        <v>1456</v>
      </c>
      <c r="M825" s="16" t="s">
        <v>1457</v>
      </c>
      <c r="N825" s="16" t="s">
        <v>1458</v>
      </c>
      <c r="O825" s="16" t="s">
        <v>1459</v>
      </c>
      <c r="P825" s="16" t="s">
        <v>1122</v>
      </c>
      <c r="Q825" s="16" t="s">
        <v>1486</v>
      </c>
      <c r="R825" s="16" t="s">
        <v>1498</v>
      </c>
    </row>
    <row r="826" spans="1:18" x14ac:dyDescent="0.35">
      <c r="A826" s="27"/>
      <c r="B826" s="41"/>
      <c r="C826" s="41"/>
      <c r="D826" s="50"/>
      <c r="E826" s="50"/>
      <c r="F826" s="50"/>
      <c r="G826" s="50"/>
      <c r="H826" s="50"/>
      <c r="I826" s="50"/>
      <c r="J826" s="50"/>
      <c r="K826" s="41"/>
      <c r="L826" s="50"/>
      <c r="M826" s="50"/>
      <c r="N826" s="50"/>
      <c r="O826" s="50"/>
      <c r="P826" s="50"/>
      <c r="Q826" s="50"/>
      <c r="R826" s="50"/>
    </row>
    <row r="827" spans="1:18" x14ac:dyDescent="0.35">
      <c r="A827" s="26">
        <v>1</v>
      </c>
      <c r="B827" s="8" t="s">
        <v>1569</v>
      </c>
      <c r="C827" s="41" t="str">
        <f>VLOOKUP(B827,'Project Resource Master'!C:N,5,0)</f>
        <v>Interior Emulsion Paint Finish</v>
      </c>
      <c r="D827" s="50">
        <v>1</v>
      </c>
      <c r="E827" s="50">
        <v>1</v>
      </c>
      <c r="F827" s="50">
        <v>1</v>
      </c>
      <c r="G827" s="50">
        <v>1</v>
      </c>
      <c r="H827" s="50">
        <v>1</v>
      </c>
      <c r="I827" s="50">
        <v>1</v>
      </c>
      <c r="J827" s="50">
        <f>PRODUCT(D827:I827)</f>
        <v>1</v>
      </c>
      <c r="K827" s="41" t="str">
        <f>VLOOKUP(B827,'Project Resource Master'!C:N,6,0)</f>
        <v>Cost</v>
      </c>
      <c r="L827" s="50">
        <f>VLOOKUP(B827,'Project Resource Master'!C:N,11,0)</f>
        <v>0</v>
      </c>
      <c r="M827" s="50">
        <f>J827*L827</f>
        <v>0</v>
      </c>
      <c r="N827" s="50">
        <f>+J827+M827</f>
        <v>1</v>
      </c>
      <c r="O827" s="50">
        <f>VLOOKUP(B827,'Project Resource Master'!C:N,12,0)</f>
        <v>45</v>
      </c>
      <c r="P827" s="50">
        <f>+O827*N827</f>
        <v>45</v>
      </c>
      <c r="Q827" s="50">
        <f>+N827*B823</f>
        <v>3720</v>
      </c>
      <c r="R827" s="50">
        <f>Q827*O827</f>
        <v>167400</v>
      </c>
    </row>
    <row r="828" spans="1:18" x14ac:dyDescent="0.35">
      <c r="A828" s="27"/>
      <c r="B828" s="41"/>
      <c r="C828" s="41"/>
      <c r="D828" s="50"/>
      <c r="E828" s="50"/>
      <c r="F828" s="50"/>
      <c r="G828" s="50"/>
      <c r="H828" s="50"/>
      <c r="I828" s="50"/>
      <c r="J828" s="50"/>
      <c r="K828" s="41"/>
      <c r="L828" s="50"/>
      <c r="M828" s="50"/>
      <c r="N828" s="50"/>
      <c r="O828" s="50"/>
      <c r="P828" s="50"/>
      <c r="Q828" s="50"/>
      <c r="R828" s="50"/>
    </row>
    <row r="829" spans="1:18" s="14" customFormat="1" x14ac:dyDescent="0.35">
      <c r="A829" s="29" t="str">
        <f>B821</f>
        <v>4g</v>
      </c>
      <c r="B829" s="7"/>
      <c r="C829" s="7" t="s">
        <v>1485</v>
      </c>
      <c r="D829" s="51"/>
      <c r="E829" s="51"/>
      <c r="F829" s="51"/>
      <c r="G829" s="51"/>
      <c r="H829" s="51"/>
      <c r="I829" s="51"/>
      <c r="J829" s="51"/>
      <c r="K829" s="7"/>
      <c r="L829" s="51"/>
      <c r="M829" s="51"/>
      <c r="N829" s="51"/>
      <c r="O829" s="51"/>
      <c r="P829" s="51">
        <f>SUM(P826:P828)</f>
        <v>45</v>
      </c>
      <c r="Q829" s="51"/>
      <c r="R829" s="51">
        <f>SUM(R826:R828)</f>
        <v>167400</v>
      </c>
    </row>
    <row r="832" spans="1:18" x14ac:dyDescent="0.35">
      <c r="A832" s="29" t="s">
        <v>1348</v>
      </c>
      <c r="B832" s="49" t="s">
        <v>1399</v>
      </c>
      <c r="C832" s="41"/>
      <c r="D832" s="50"/>
      <c r="E832" s="50"/>
      <c r="F832" s="50"/>
      <c r="G832" s="50"/>
      <c r="H832" s="50"/>
      <c r="I832" s="50"/>
      <c r="J832" s="50"/>
      <c r="K832" s="41"/>
      <c r="L832" s="50"/>
      <c r="M832" s="50"/>
      <c r="N832" s="50"/>
      <c r="O832" s="50"/>
      <c r="P832" s="50"/>
      <c r="Q832" s="50"/>
      <c r="R832" s="50"/>
    </row>
    <row r="833" spans="1:18" ht="29" x14ac:dyDescent="0.35">
      <c r="A833" s="29" t="s">
        <v>1450</v>
      </c>
      <c r="B833" s="49" t="str">
        <f>VLOOKUP(B832,'Working BOQ'!A:K,9,0)</f>
        <v>Exerior Emulsion Paint Finish</v>
      </c>
      <c r="C833" s="41"/>
      <c r="D833" s="50"/>
      <c r="E833" s="50"/>
      <c r="F833" s="50"/>
      <c r="G833" s="50"/>
      <c r="H833" s="50"/>
      <c r="I833" s="50"/>
      <c r="J833" s="50"/>
      <c r="K833" s="41"/>
      <c r="L833" s="50"/>
      <c r="M833" s="50"/>
      <c r="N833" s="50"/>
      <c r="O833" s="50"/>
      <c r="P833" s="50"/>
      <c r="Q833" s="50"/>
      <c r="R833" s="50"/>
    </row>
    <row r="834" spans="1:18" x14ac:dyDescent="0.35">
      <c r="A834" s="29" t="s">
        <v>1451</v>
      </c>
      <c r="B834" s="49">
        <f>VLOOKUP(B832,'Working BOQ'!A:N,14,0)</f>
        <v>1560</v>
      </c>
      <c r="C834" s="41"/>
      <c r="D834" s="50"/>
      <c r="E834" s="50"/>
      <c r="F834" s="50"/>
      <c r="G834" s="50"/>
      <c r="H834" s="50"/>
      <c r="I834" s="50"/>
      <c r="J834" s="50"/>
      <c r="K834" s="41"/>
      <c r="L834" s="50"/>
      <c r="M834" s="50"/>
      <c r="N834" s="50"/>
      <c r="O834" s="50"/>
      <c r="P834" s="50"/>
      <c r="Q834" s="50"/>
      <c r="R834" s="50"/>
    </row>
    <row r="835" spans="1:18" x14ac:dyDescent="0.35">
      <c r="A835" s="29" t="s">
        <v>1</v>
      </c>
      <c r="B835" s="49" t="str">
        <f>VLOOKUP(B832,'Working BOQ'!A:K,11,0)</f>
        <v>sqm</v>
      </c>
      <c r="C835" s="41"/>
      <c r="D835" s="50"/>
      <c r="E835" s="50"/>
      <c r="F835" s="50"/>
      <c r="G835" s="50"/>
      <c r="H835" s="50"/>
      <c r="I835" s="50"/>
      <c r="J835" s="50"/>
      <c r="K835" s="41"/>
      <c r="L835" s="50"/>
      <c r="M835" s="50"/>
      <c r="N835" s="50"/>
      <c r="O835" s="50"/>
      <c r="P835" s="50"/>
      <c r="Q835" s="50"/>
      <c r="R835" s="50"/>
    </row>
    <row r="836" spans="1:18" s="6" customFormat="1" x14ac:dyDescent="0.35">
      <c r="A836" s="24" t="s">
        <v>110</v>
      </c>
      <c r="B836" s="5" t="s">
        <v>112</v>
      </c>
      <c r="C836" s="5" t="s">
        <v>111</v>
      </c>
      <c r="D836" s="16" t="s">
        <v>1200</v>
      </c>
      <c r="E836" s="16" t="s">
        <v>1200</v>
      </c>
      <c r="F836" s="16" t="s">
        <v>1452</v>
      </c>
      <c r="G836" s="16" t="s">
        <v>1453</v>
      </c>
      <c r="H836" s="16" t="s">
        <v>1454</v>
      </c>
      <c r="I836" s="16" t="s">
        <v>1455</v>
      </c>
      <c r="J836" s="16" t="s">
        <v>3</v>
      </c>
      <c r="K836" s="5" t="s">
        <v>1</v>
      </c>
      <c r="L836" s="16" t="s">
        <v>1456</v>
      </c>
      <c r="M836" s="16" t="s">
        <v>1457</v>
      </c>
      <c r="N836" s="16" t="s">
        <v>1458</v>
      </c>
      <c r="O836" s="16" t="s">
        <v>1459</v>
      </c>
      <c r="P836" s="16" t="s">
        <v>1122</v>
      </c>
      <c r="Q836" s="16" t="s">
        <v>1486</v>
      </c>
      <c r="R836" s="16" t="s">
        <v>1498</v>
      </c>
    </row>
    <row r="837" spans="1:18" x14ac:dyDescent="0.35">
      <c r="A837" s="27"/>
      <c r="B837" s="41"/>
      <c r="C837" s="41"/>
      <c r="D837" s="50"/>
      <c r="E837" s="50"/>
      <c r="F837" s="50"/>
      <c r="G837" s="50"/>
      <c r="H837" s="50"/>
      <c r="I837" s="50"/>
      <c r="J837" s="50"/>
      <c r="K837" s="41"/>
      <c r="L837" s="50"/>
      <c r="M837" s="50"/>
      <c r="N837" s="50"/>
      <c r="O837" s="50"/>
      <c r="P837" s="50"/>
      <c r="Q837" s="50"/>
      <c r="R837" s="50"/>
    </row>
    <row r="838" spans="1:18" x14ac:dyDescent="0.35">
      <c r="A838" s="26">
        <v>1</v>
      </c>
      <c r="B838" s="8" t="s">
        <v>1570</v>
      </c>
      <c r="C838" s="41" t="str">
        <f>VLOOKUP(B838,'Project Resource Master'!C:N,5,0)</f>
        <v>Exerior Emulsion Paint Finish</v>
      </c>
      <c r="D838" s="50">
        <v>1</v>
      </c>
      <c r="E838" s="50">
        <v>1</v>
      </c>
      <c r="F838" s="50">
        <v>1</v>
      </c>
      <c r="G838" s="50">
        <v>1</v>
      </c>
      <c r="H838" s="50">
        <v>1</v>
      </c>
      <c r="I838" s="50">
        <v>1</v>
      </c>
      <c r="J838" s="50">
        <f>PRODUCT(D838:I838)</f>
        <v>1</v>
      </c>
      <c r="K838" s="41" t="str">
        <f>VLOOKUP(B838,'Project Resource Master'!C:N,6,0)</f>
        <v>Cost</v>
      </c>
      <c r="L838" s="50">
        <f>VLOOKUP(B838,'Project Resource Master'!C:N,11,0)</f>
        <v>0</v>
      </c>
      <c r="M838" s="50">
        <f>J838*L838</f>
        <v>0</v>
      </c>
      <c r="N838" s="50">
        <f>+J838+M838</f>
        <v>1</v>
      </c>
      <c r="O838" s="50">
        <f>VLOOKUP(B838,'Project Resource Master'!C:N,12,0)</f>
        <v>45</v>
      </c>
      <c r="P838" s="50">
        <f>+O838*N838</f>
        <v>45</v>
      </c>
      <c r="Q838" s="50">
        <f>+N838*B834</f>
        <v>1560</v>
      </c>
      <c r="R838" s="50">
        <f>Q838*O838</f>
        <v>70200</v>
      </c>
    </row>
    <row r="839" spans="1:18" x14ac:dyDescent="0.35">
      <c r="A839" s="27"/>
      <c r="B839" s="41"/>
      <c r="C839" s="41"/>
      <c r="D839" s="50"/>
      <c r="E839" s="50"/>
      <c r="F839" s="50"/>
      <c r="G839" s="50"/>
      <c r="H839" s="50"/>
      <c r="I839" s="50"/>
      <c r="J839" s="50"/>
      <c r="K839" s="41"/>
      <c r="L839" s="50"/>
      <c r="M839" s="50"/>
      <c r="N839" s="50"/>
      <c r="O839" s="50"/>
      <c r="P839" s="50"/>
      <c r="Q839" s="50"/>
      <c r="R839" s="50"/>
    </row>
    <row r="840" spans="1:18" s="14" customFormat="1" x14ac:dyDescent="0.35">
      <c r="A840" s="29" t="str">
        <f>B832</f>
        <v>4h</v>
      </c>
      <c r="B840" s="7"/>
      <c r="C840" s="7" t="s">
        <v>1485</v>
      </c>
      <c r="D840" s="51"/>
      <c r="E840" s="51"/>
      <c r="F840" s="51"/>
      <c r="G840" s="51"/>
      <c r="H840" s="51"/>
      <c r="I840" s="51"/>
      <c r="J840" s="51"/>
      <c r="K840" s="7"/>
      <c r="L840" s="51"/>
      <c r="M840" s="51"/>
      <c r="N840" s="51"/>
      <c r="O840" s="51"/>
      <c r="P840" s="51">
        <f>SUM(P837:P839)</f>
        <v>45</v>
      </c>
      <c r="Q840" s="51"/>
      <c r="R840" s="51">
        <f>SUM(R837:R839)</f>
        <v>70200</v>
      </c>
    </row>
    <row r="843" spans="1:18" x14ac:dyDescent="0.35">
      <c r="A843" s="29" t="s">
        <v>1348</v>
      </c>
      <c r="B843" s="49" t="s">
        <v>1400</v>
      </c>
      <c r="C843" s="41"/>
      <c r="D843" s="50"/>
      <c r="E843" s="50"/>
      <c r="F843" s="50"/>
      <c r="G843" s="50"/>
      <c r="H843" s="50"/>
      <c r="I843" s="50"/>
      <c r="J843" s="50"/>
      <c r="K843" s="41"/>
      <c r="L843" s="50"/>
      <c r="M843" s="50"/>
      <c r="N843" s="50"/>
      <c r="O843" s="50"/>
      <c r="P843" s="50"/>
      <c r="Q843" s="50"/>
      <c r="R843" s="50"/>
    </row>
    <row r="844" spans="1:18" ht="29" x14ac:dyDescent="0.35">
      <c r="A844" s="29" t="s">
        <v>1450</v>
      </c>
      <c r="B844" s="49" t="str">
        <f>VLOOKUP(B843,'Working BOQ'!A:K,9,0)</f>
        <v>Decorative Texture Plaster Finish</v>
      </c>
      <c r="C844" s="41"/>
      <c r="D844" s="50"/>
      <c r="E844" s="50"/>
      <c r="F844" s="50"/>
      <c r="G844" s="50"/>
      <c r="H844" s="50"/>
      <c r="I844" s="50"/>
      <c r="J844" s="50"/>
      <c r="K844" s="41"/>
      <c r="L844" s="50"/>
      <c r="M844" s="50"/>
      <c r="N844" s="50"/>
      <c r="O844" s="50"/>
      <c r="P844" s="50"/>
      <c r="Q844" s="50"/>
      <c r="R844" s="50"/>
    </row>
    <row r="845" spans="1:18" x14ac:dyDescent="0.35">
      <c r="A845" s="29" t="s">
        <v>1451</v>
      </c>
      <c r="B845" s="49">
        <f>VLOOKUP(B843,'Working BOQ'!A:N,14,0)</f>
        <v>900</v>
      </c>
      <c r="C845" s="41"/>
      <c r="D845" s="50"/>
      <c r="E845" s="50"/>
      <c r="F845" s="50"/>
      <c r="G845" s="50"/>
      <c r="H845" s="50"/>
      <c r="I845" s="50"/>
      <c r="J845" s="50"/>
      <c r="K845" s="41"/>
      <c r="L845" s="50"/>
      <c r="M845" s="50"/>
      <c r="N845" s="50"/>
      <c r="O845" s="50"/>
      <c r="P845" s="50"/>
      <c r="Q845" s="50"/>
      <c r="R845" s="50"/>
    </row>
    <row r="846" spans="1:18" x14ac:dyDescent="0.35">
      <c r="A846" s="29" t="s">
        <v>1</v>
      </c>
      <c r="B846" s="49" t="str">
        <f>VLOOKUP(B843,'Working BOQ'!A:K,11,0)</f>
        <v>sqm</v>
      </c>
      <c r="C846" s="41"/>
      <c r="D846" s="50"/>
      <c r="E846" s="50"/>
      <c r="F846" s="50"/>
      <c r="G846" s="50"/>
      <c r="H846" s="50"/>
      <c r="I846" s="50"/>
      <c r="J846" s="50"/>
      <c r="K846" s="41"/>
      <c r="L846" s="50"/>
      <c r="M846" s="50"/>
      <c r="N846" s="50"/>
      <c r="O846" s="50"/>
      <c r="P846" s="50"/>
      <c r="Q846" s="50"/>
      <c r="R846" s="50"/>
    </row>
    <row r="847" spans="1:18" s="6" customFormat="1" x14ac:dyDescent="0.35">
      <c r="A847" s="24" t="s">
        <v>110</v>
      </c>
      <c r="B847" s="5" t="s">
        <v>112</v>
      </c>
      <c r="C847" s="5" t="s">
        <v>111</v>
      </c>
      <c r="D847" s="16" t="s">
        <v>1200</v>
      </c>
      <c r="E847" s="16" t="s">
        <v>1200</v>
      </c>
      <c r="F847" s="16" t="s">
        <v>1452</v>
      </c>
      <c r="G847" s="16" t="s">
        <v>1453</v>
      </c>
      <c r="H847" s="16" t="s">
        <v>1454</v>
      </c>
      <c r="I847" s="16" t="s">
        <v>1455</v>
      </c>
      <c r="J847" s="16" t="s">
        <v>3</v>
      </c>
      <c r="K847" s="5" t="s">
        <v>1</v>
      </c>
      <c r="L847" s="16" t="s">
        <v>1456</v>
      </c>
      <c r="M847" s="16" t="s">
        <v>1457</v>
      </c>
      <c r="N847" s="16" t="s">
        <v>1458</v>
      </c>
      <c r="O847" s="16" t="s">
        <v>1459</v>
      </c>
      <c r="P847" s="16" t="s">
        <v>1122</v>
      </c>
      <c r="Q847" s="16" t="s">
        <v>1486</v>
      </c>
      <c r="R847" s="16" t="s">
        <v>1498</v>
      </c>
    </row>
    <row r="848" spans="1:18" x14ac:dyDescent="0.35">
      <c r="A848" s="27"/>
      <c r="B848" s="41"/>
      <c r="C848" s="41"/>
      <c r="D848" s="50"/>
      <c r="E848" s="50"/>
      <c r="F848" s="50"/>
      <c r="G848" s="50"/>
      <c r="H848" s="50"/>
      <c r="I848" s="50"/>
      <c r="J848" s="50"/>
      <c r="K848" s="41"/>
      <c r="L848" s="50"/>
      <c r="M848" s="50"/>
      <c r="N848" s="50"/>
      <c r="O848" s="50"/>
      <c r="P848" s="50"/>
      <c r="Q848" s="50"/>
      <c r="R848" s="50"/>
    </row>
    <row r="849" spans="1:18" x14ac:dyDescent="0.35">
      <c r="A849" s="26">
        <v>1</v>
      </c>
      <c r="B849" s="8" t="s">
        <v>1571</v>
      </c>
      <c r="C849" s="41" t="str">
        <f>VLOOKUP(B849,'Project Resource Master'!C:N,5,0)</f>
        <v>Decorative Texture Plaster Finish</v>
      </c>
      <c r="D849" s="50">
        <v>1</v>
      </c>
      <c r="E849" s="50">
        <v>1</v>
      </c>
      <c r="F849" s="50">
        <v>1</v>
      </c>
      <c r="G849" s="50">
        <v>1</v>
      </c>
      <c r="H849" s="50">
        <v>1</v>
      </c>
      <c r="I849" s="50">
        <v>1</v>
      </c>
      <c r="J849" s="50">
        <f>PRODUCT(D849:I849)</f>
        <v>1</v>
      </c>
      <c r="K849" s="41" t="str">
        <f>VLOOKUP(B849,'Project Resource Master'!C:N,6,0)</f>
        <v>Cost</v>
      </c>
      <c r="L849" s="50">
        <f>VLOOKUP(B849,'Project Resource Master'!C:N,11,0)</f>
        <v>0</v>
      </c>
      <c r="M849" s="50">
        <f>J849*L849</f>
        <v>0</v>
      </c>
      <c r="N849" s="50">
        <f>+J849+M849</f>
        <v>1</v>
      </c>
      <c r="O849" s="50">
        <f>VLOOKUP(B849,'Project Resource Master'!C:N,12,0)</f>
        <v>25</v>
      </c>
      <c r="P849" s="50">
        <f>+O849*N849</f>
        <v>25</v>
      </c>
      <c r="Q849" s="50">
        <f>+N849*B845</f>
        <v>900</v>
      </c>
      <c r="R849" s="50">
        <f>Q849*O849</f>
        <v>22500</v>
      </c>
    </row>
    <row r="850" spans="1:18" x14ac:dyDescent="0.35">
      <c r="A850" s="27"/>
      <c r="B850" s="41"/>
      <c r="C850" s="41"/>
      <c r="D850" s="50"/>
      <c r="E850" s="50"/>
      <c r="F850" s="50"/>
      <c r="G850" s="50"/>
      <c r="H850" s="50"/>
      <c r="I850" s="50"/>
      <c r="J850" s="50"/>
      <c r="K850" s="41"/>
      <c r="L850" s="50"/>
      <c r="M850" s="50"/>
      <c r="N850" s="50"/>
      <c r="O850" s="50"/>
      <c r="P850" s="50"/>
      <c r="Q850" s="50"/>
      <c r="R850" s="50"/>
    </row>
    <row r="851" spans="1:18" s="14" customFormat="1" x14ac:dyDescent="0.35">
      <c r="A851" s="29" t="str">
        <f>B843</f>
        <v>4i</v>
      </c>
      <c r="B851" s="7"/>
      <c r="C851" s="7" t="s">
        <v>1485</v>
      </c>
      <c r="D851" s="51"/>
      <c r="E851" s="51"/>
      <c r="F851" s="51"/>
      <c r="G851" s="51"/>
      <c r="H851" s="51"/>
      <c r="I851" s="51"/>
      <c r="J851" s="51"/>
      <c r="K851" s="7"/>
      <c r="L851" s="51"/>
      <c r="M851" s="51"/>
      <c r="N851" s="51"/>
      <c r="O851" s="51"/>
      <c r="P851" s="51">
        <f>SUM(P848:P850)</f>
        <v>25</v>
      </c>
      <c r="Q851" s="51"/>
      <c r="R851" s="51">
        <f>SUM(R848:R850)</f>
        <v>22500</v>
      </c>
    </row>
    <row r="854" spans="1:18" x14ac:dyDescent="0.35">
      <c r="A854" s="29" t="s">
        <v>1348</v>
      </c>
      <c r="B854" s="49" t="s">
        <v>1389</v>
      </c>
      <c r="C854" s="41"/>
      <c r="D854" s="50"/>
      <c r="E854" s="50"/>
      <c r="F854" s="50"/>
      <c r="G854" s="50"/>
      <c r="H854" s="50"/>
      <c r="I854" s="50"/>
      <c r="J854" s="50"/>
      <c r="K854" s="41"/>
      <c r="L854" s="50"/>
      <c r="M854" s="50"/>
      <c r="N854" s="50"/>
      <c r="O854" s="50"/>
      <c r="P854" s="50"/>
      <c r="Q854" s="50"/>
      <c r="R854" s="50"/>
    </row>
    <row r="855" spans="1:18" ht="29" x14ac:dyDescent="0.35">
      <c r="A855" s="29" t="s">
        <v>1450</v>
      </c>
      <c r="B855" s="49" t="str">
        <f>VLOOKUP(B854,'Working BOQ'!A:K,9,0)</f>
        <v>100mm Blockwork</v>
      </c>
      <c r="C855" s="41"/>
      <c r="D855" s="50"/>
      <c r="E855" s="50"/>
      <c r="F855" s="50"/>
      <c r="G855" s="50"/>
      <c r="H855" s="50"/>
      <c r="I855" s="50"/>
      <c r="J855" s="50"/>
      <c r="K855" s="41"/>
      <c r="L855" s="50"/>
      <c r="M855" s="50"/>
      <c r="N855" s="50"/>
      <c r="O855" s="50"/>
      <c r="P855" s="50"/>
      <c r="Q855" s="50"/>
      <c r="R855" s="50"/>
    </row>
    <row r="856" spans="1:18" x14ac:dyDescent="0.35">
      <c r="A856" s="29" t="s">
        <v>1451</v>
      </c>
      <c r="B856" s="49">
        <f>VLOOKUP(B854,'Working BOQ'!A:N,14,0)</f>
        <v>1380</v>
      </c>
      <c r="C856" s="41"/>
      <c r="D856" s="50"/>
      <c r="E856" s="50"/>
      <c r="F856" s="50"/>
      <c r="G856" s="50"/>
      <c r="H856" s="50"/>
      <c r="I856" s="50"/>
      <c r="J856" s="50"/>
      <c r="K856" s="41"/>
      <c r="L856" s="50"/>
      <c r="M856" s="50"/>
      <c r="N856" s="50"/>
      <c r="O856" s="50"/>
      <c r="P856" s="50"/>
      <c r="Q856" s="50"/>
      <c r="R856" s="50"/>
    </row>
    <row r="857" spans="1:18" x14ac:dyDescent="0.35">
      <c r="A857" s="29" t="s">
        <v>1</v>
      </c>
      <c r="B857" s="49" t="str">
        <f>VLOOKUP(B854,'Working BOQ'!A:K,11,0)</f>
        <v>sqm</v>
      </c>
      <c r="C857" s="41"/>
      <c r="D857" s="50"/>
      <c r="E857" s="50"/>
      <c r="F857" s="50"/>
      <c r="G857" s="50"/>
      <c r="H857" s="50"/>
      <c r="I857" s="50"/>
      <c r="J857" s="50"/>
      <c r="K857" s="41"/>
      <c r="L857" s="50"/>
      <c r="M857" s="50"/>
      <c r="N857" s="50"/>
      <c r="O857" s="50"/>
      <c r="P857" s="50"/>
      <c r="Q857" s="50"/>
      <c r="R857" s="50"/>
    </row>
    <row r="858" spans="1:18" s="6" customFormat="1" x14ac:dyDescent="0.35">
      <c r="A858" s="24" t="s">
        <v>110</v>
      </c>
      <c r="B858" s="5" t="s">
        <v>112</v>
      </c>
      <c r="C858" s="5" t="s">
        <v>111</v>
      </c>
      <c r="D858" s="16" t="s">
        <v>1200</v>
      </c>
      <c r="E858" s="16" t="s">
        <v>1200</v>
      </c>
      <c r="F858" s="16" t="s">
        <v>1452</v>
      </c>
      <c r="G858" s="16" t="s">
        <v>1453</v>
      </c>
      <c r="H858" s="16" t="s">
        <v>1454</v>
      </c>
      <c r="I858" s="16" t="s">
        <v>1455</v>
      </c>
      <c r="J858" s="16" t="s">
        <v>3</v>
      </c>
      <c r="K858" s="5" t="s">
        <v>1</v>
      </c>
      <c r="L858" s="16" t="s">
        <v>1456</v>
      </c>
      <c r="M858" s="16" t="s">
        <v>1457</v>
      </c>
      <c r="N858" s="16" t="s">
        <v>1458</v>
      </c>
      <c r="O858" s="16" t="s">
        <v>1459</v>
      </c>
      <c r="P858" s="16" t="s">
        <v>1122</v>
      </c>
      <c r="Q858" s="16" t="s">
        <v>1486</v>
      </c>
      <c r="R858" s="16" t="s">
        <v>1498</v>
      </c>
    </row>
    <row r="859" spans="1:18" x14ac:dyDescent="0.35">
      <c r="A859" s="27"/>
      <c r="B859" s="41"/>
      <c r="C859" s="41"/>
      <c r="D859" s="50"/>
      <c r="E859" s="50"/>
      <c r="F859" s="50"/>
      <c r="G859" s="50"/>
      <c r="H859" s="50"/>
      <c r="I859" s="50"/>
      <c r="J859" s="50"/>
      <c r="K859" s="41"/>
      <c r="L859" s="50"/>
      <c r="M859" s="50"/>
      <c r="N859" s="50"/>
      <c r="O859" s="50"/>
      <c r="P859" s="50"/>
      <c r="Q859" s="50"/>
      <c r="R859" s="50"/>
    </row>
    <row r="860" spans="1:18" x14ac:dyDescent="0.35">
      <c r="A860" s="26">
        <v>1</v>
      </c>
      <c r="B860" s="8" t="s">
        <v>1542</v>
      </c>
      <c r="C860" s="41" t="str">
        <f>VLOOKUP(B860,'Project Resource Master'!C:N,5,0)</f>
        <v>Hollow Block Grade A</v>
      </c>
      <c r="D860" s="50">
        <v>100</v>
      </c>
      <c r="E860" s="50">
        <v>1</v>
      </c>
      <c r="F860" s="50">
        <v>1</v>
      </c>
      <c r="G860" s="50">
        <v>1</v>
      </c>
      <c r="H860" s="50">
        <v>1</v>
      </c>
      <c r="I860" s="50">
        <v>1</v>
      </c>
      <c r="J860" s="50">
        <f>PRODUCT(D860:I860)</f>
        <v>100</v>
      </c>
      <c r="K860" s="41" t="str">
        <f>VLOOKUP(B860,'Project Resource Master'!C:N,6,0)</f>
        <v>nos</v>
      </c>
      <c r="L860" s="50">
        <f>VLOOKUP(B860,'Project Resource Master'!C:N,11,0)</f>
        <v>0.05</v>
      </c>
      <c r="M860" s="50">
        <f>J860*L860</f>
        <v>5</v>
      </c>
      <c r="N860" s="50">
        <f>+J860+M860</f>
        <v>105</v>
      </c>
      <c r="O860" s="50">
        <f>VLOOKUP(B860,'Project Resource Master'!C:N,12,0)</f>
        <v>50</v>
      </c>
      <c r="P860" s="50">
        <f>+O860*N860</f>
        <v>5250</v>
      </c>
      <c r="Q860" s="50">
        <f>+N860*B856</f>
        <v>144900</v>
      </c>
      <c r="R860" s="50">
        <f>Q860*O860</f>
        <v>7245000</v>
      </c>
    </row>
    <row r="861" spans="1:18" x14ac:dyDescent="0.35">
      <c r="A861" s="26">
        <v>2</v>
      </c>
      <c r="B861" s="8" t="s">
        <v>1539</v>
      </c>
      <c r="C861" s="41" t="str">
        <f>VLOOKUP(B861,'Project Resource Master'!C:N,5,0)</f>
        <v>Cement OPC 43 Grade</v>
      </c>
      <c r="D861" s="50">
        <v>7.5</v>
      </c>
      <c r="E861" s="50">
        <v>1</v>
      </c>
      <c r="F861" s="50">
        <v>1</v>
      </c>
      <c r="G861" s="50">
        <v>1</v>
      </c>
      <c r="H861" s="50">
        <v>1</v>
      </c>
      <c r="I861" s="50">
        <v>1</v>
      </c>
      <c r="J861" s="50">
        <f>PRODUCT(D861:I861)</f>
        <v>7.5</v>
      </c>
      <c r="K861" s="41" t="str">
        <f>VLOOKUP(B861,'Project Resource Master'!C:N,6,0)</f>
        <v>bag</v>
      </c>
      <c r="L861" s="50">
        <f>VLOOKUP(B861,'Project Resource Master'!C:N,11,0)</f>
        <v>0.1</v>
      </c>
      <c r="M861" s="50">
        <f>J861*L861</f>
        <v>0.75</v>
      </c>
      <c r="N861" s="50">
        <f>+J861+M861</f>
        <v>8.25</v>
      </c>
      <c r="O861" s="50">
        <f>VLOOKUP(B861,'Project Resource Master'!C:N,12,0)</f>
        <v>50</v>
      </c>
      <c r="P861" s="50">
        <f>+O861*N861</f>
        <v>412.5</v>
      </c>
      <c r="Q861" s="50">
        <f>+N861*B856</f>
        <v>11385</v>
      </c>
      <c r="R861" s="50">
        <f>Q861*O861</f>
        <v>569250</v>
      </c>
    </row>
    <row r="862" spans="1:18" x14ac:dyDescent="0.35">
      <c r="A862" s="26">
        <v>3</v>
      </c>
      <c r="B862" s="8" t="s">
        <v>1556</v>
      </c>
      <c r="C862" s="41" t="str">
        <f>VLOOKUP(B862,'Project Resource Master'!C:N,5,0)</f>
        <v>P-Sand Grade A</v>
      </c>
      <c r="D862" s="50">
        <v>2</v>
      </c>
      <c r="E862" s="50">
        <v>1</v>
      </c>
      <c r="F862" s="50">
        <v>1</v>
      </c>
      <c r="G862" s="50">
        <v>1</v>
      </c>
      <c r="H862" s="50">
        <v>1</v>
      </c>
      <c r="I862" s="50">
        <v>1</v>
      </c>
      <c r="J862" s="50">
        <f>PRODUCT(D862:I862)</f>
        <v>2</v>
      </c>
      <c r="K862" s="41" t="str">
        <f>VLOOKUP(B862,'Project Resource Master'!C:N,6,0)</f>
        <v>unit</v>
      </c>
      <c r="L862" s="50">
        <f>VLOOKUP(B862,'Project Resource Master'!C:N,11,0)</f>
        <v>0.05</v>
      </c>
      <c r="M862" s="50">
        <f>J862*L862</f>
        <v>0.1</v>
      </c>
      <c r="N862" s="50">
        <f>+J862+M862</f>
        <v>2.1</v>
      </c>
      <c r="O862" s="50">
        <f>VLOOKUP(B862,'Project Resource Master'!C:N,12,0)</f>
        <v>50</v>
      </c>
      <c r="P862" s="50">
        <f>+O862*N862</f>
        <v>105</v>
      </c>
      <c r="Q862" s="50">
        <f>+N862*B856</f>
        <v>2898</v>
      </c>
      <c r="R862" s="50">
        <f>Q862*O862</f>
        <v>144900</v>
      </c>
    </row>
    <row r="863" spans="1:18" x14ac:dyDescent="0.35">
      <c r="A863" s="26">
        <v>4</v>
      </c>
      <c r="B863" s="8" t="s">
        <v>1541</v>
      </c>
      <c r="C863" s="41" t="str">
        <f>VLOOKUP(B863,'Project Resource Master'!C:N,5,0)</f>
        <v>Water - Grade A</v>
      </c>
      <c r="D863" s="50">
        <v>20</v>
      </c>
      <c r="E863" s="50">
        <v>1</v>
      </c>
      <c r="F863" s="50">
        <v>1</v>
      </c>
      <c r="G863" s="50">
        <v>1</v>
      </c>
      <c r="H863" s="50">
        <v>1</v>
      </c>
      <c r="I863" s="50">
        <v>1</v>
      </c>
      <c r="J863" s="50">
        <f>PRODUCT(D863:I863)</f>
        <v>20</v>
      </c>
      <c r="K863" s="41" t="str">
        <f>VLOOKUP(B863,'Project Resource Master'!C:N,6,0)</f>
        <v>ltr</v>
      </c>
      <c r="L863" s="50">
        <f>VLOOKUP(B863,'Project Resource Master'!C:N,11,0)</f>
        <v>0.05</v>
      </c>
      <c r="M863" s="50">
        <f>J863*L863</f>
        <v>1</v>
      </c>
      <c r="N863" s="50">
        <f>+J863+M863</f>
        <v>21</v>
      </c>
      <c r="O863" s="50">
        <f>VLOOKUP(B863,'Project Resource Master'!C:N,12,0)</f>
        <v>50</v>
      </c>
      <c r="P863" s="50">
        <f>+O863*N863</f>
        <v>1050</v>
      </c>
      <c r="Q863" s="50">
        <f>+N863*B856</f>
        <v>28980</v>
      </c>
      <c r="R863" s="50">
        <f>Q863*O863</f>
        <v>1449000</v>
      </c>
    </row>
    <row r="864" spans="1:18" x14ac:dyDescent="0.35">
      <c r="A864" s="26">
        <v>5</v>
      </c>
      <c r="B864" s="8" t="s">
        <v>1489</v>
      </c>
      <c r="C864" s="41" t="str">
        <f>VLOOKUP(B864,'Project Resource Master'!C:N,5,0)</f>
        <v>Plastering Mason</v>
      </c>
      <c r="D864" s="50">
        <v>20</v>
      </c>
      <c r="E864" s="50">
        <v>1</v>
      </c>
      <c r="F864" s="50">
        <v>1</v>
      </c>
      <c r="G864" s="50">
        <v>1</v>
      </c>
      <c r="H864" s="50">
        <v>1</v>
      </c>
      <c r="I864" s="50">
        <v>1</v>
      </c>
      <c r="J864" s="50">
        <f>PRODUCT(D864:I864)</f>
        <v>20</v>
      </c>
      <c r="K864" s="41" t="str">
        <f>VLOOKUP(B864,'Project Resource Master'!C:N,6,0)</f>
        <v>hr</v>
      </c>
      <c r="L864" s="50">
        <f>VLOOKUP(B864,'Project Resource Master'!C:N,11,0)</f>
        <v>0.05</v>
      </c>
      <c r="M864" s="50">
        <f>J864*L864</f>
        <v>1</v>
      </c>
      <c r="N864" s="50">
        <f>+J864+M864</f>
        <v>21</v>
      </c>
      <c r="O864" s="50">
        <f>VLOOKUP(B864,'Project Resource Master'!C:N,12,0)</f>
        <v>50</v>
      </c>
      <c r="P864" s="50">
        <f>+O864*N864</f>
        <v>1050</v>
      </c>
      <c r="Q864" s="50">
        <f>+N864*B856</f>
        <v>28980</v>
      </c>
      <c r="R864" s="50">
        <f>Q864*O864</f>
        <v>1449000</v>
      </c>
    </row>
    <row r="865" spans="1:18" x14ac:dyDescent="0.35">
      <c r="A865" s="26">
        <v>6</v>
      </c>
      <c r="B865" s="8" t="s">
        <v>1491</v>
      </c>
      <c r="C865" s="41" t="str">
        <f>VLOOKUP(B865,'Project Resource Master'!C:N,5,0)</f>
        <v>Helper</v>
      </c>
      <c r="D865" s="50">
        <v>20</v>
      </c>
      <c r="E865" s="50">
        <v>1</v>
      </c>
      <c r="F865" s="50">
        <v>1</v>
      </c>
      <c r="G865" s="50">
        <v>1</v>
      </c>
      <c r="H865" s="50">
        <v>1</v>
      </c>
      <c r="I865" s="50">
        <v>1</v>
      </c>
      <c r="J865" s="50">
        <f>PRODUCT(D865:I865)</f>
        <v>20</v>
      </c>
      <c r="K865" s="41" t="str">
        <f>VLOOKUP(B865,'Project Resource Master'!C:N,6,0)</f>
        <v>hr</v>
      </c>
      <c r="L865" s="50">
        <f>VLOOKUP(B865,'Project Resource Master'!C:N,11,0)</f>
        <v>0.05</v>
      </c>
      <c r="M865" s="50">
        <f>J865*L865</f>
        <v>1</v>
      </c>
      <c r="N865" s="50">
        <f>+J865+M865</f>
        <v>21</v>
      </c>
      <c r="O865" s="50">
        <f>VLOOKUP(B865,'Project Resource Master'!C:N,12,0)</f>
        <v>50</v>
      </c>
      <c r="P865" s="50">
        <f>+O865*N865</f>
        <v>1050</v>
      </c>
      <c r="Q865" s="50">
        <f>+N865*B856</f>
        <v>28980</v>
      </c>
      <c r="R865" s="50">
        <f>Q865*O865</f>
        <v>1449000</v>
      </c>
    </row>
    <row r="866" spans="1:18" x14ac:dyDescent="0.35">
      <c r="A866" s="27"/>
      <c r="B866" s="41"/>
      <c r="C866" s="41"/>
      <c r="D866" s="50"/>
      <c r="E866" s="50"/>
      <c r="F866" s="50"/>
      <c r="G866" s="50"/>
      <c r="H866" s="50"/>
      <c r="I866" s="50"/>
      <c r="J866" s="50"/>
      <c r="K866" s="41"/>
      <c r="L866" s="50"/>
      <c r="M866" s="50"/>
      <c r="N866" s="50"/>
      <c r="O866" s="50"/>
      <c r="P866" s="50"/>
      <c r="Q866" s="50"/>
      <c r="R866" s="50"/>
    </row>
    <row r="867" spans="1:18" s="14" customFormat="1" x14ac:dyDescent="0.35">
      <c r="A867" s="29" t="str">
        <f>B854</f>
        <v>3n</v>
      </c>
      <c r="B867" s="7"/>
      <c r="C867" s="7" t="s">
        <v>1485</v>
      </c>
      <c r="D867" s="51"/>
      <c r="E867" s="51"/>
      <c r="F867" s="51"/>
      <c r="G867" s="51"/>
      <c r="H867" s="51"/>
      <c r="I867" s="51"/>
      <c r="J867" s="51"/>
      <c r="K867" s="7"/>
      <c r="L867" s="51"/>
      <c r="M867" s="51"/>
      <c r="N867" s="51"/>
      <c r="O867" s="51"/>
      <c r="P867" s="51">
        <f>SUM(P859:P866)</f>
        <v>8917.5</v>
      </c>
      <c r="Q867" s="51"/>
      <c r="R867" s="51">
        <f>SUM(R859:R866)</f>
        <v>12306150</v>
      </c>
    </row>
    <row r="870" spans="1:18" x14ac:dyDescent="0.35">
      <c r="A870" s="29" t="s">
        <v>1348</v>
      </c>
      <c r="B870" s="49" t="s">
        <v>1390</v>
      </c>
      <c r="C870" s="41"/>
      <c r="D870" s="50"/>
      <c r="E870" s="50"/>
      <c r="F870" s="50"/>
      <c r="G870" s="50"/>
      <c r="H870" s="50"/>
      <c r="I870" s="50"/>
      <c r="J870" s="50"/>
      <c r="K870" s="41"/>
      <c r="L870" s="50"/>
      <c r="M870" s="50"/>
      <c r="N870" s="50"/>
      <c r="O870" s="50"/>
      <c r="P870" s="50"/>
      <c r="Q870" s="50"/>
      <c r="R870" s="50"/>
    </row>
    <row r="871" spans="1:18" ht="29" x14ac:dyDescent="0.35">
      <c r="A871" s="29" t="s">
        <v>1450</v>
      </c>
      <c r="B871" s="49" t="str">
        <f>VLOOKUP(B870,'Working BOQ'!A:K,9,0)</f>
        <v>200mm Blockwork</v>
      </c>
      <c r="C871" s="41"/>
      <c r="D871" s="50"/>
      <c r="E871" s="50"/>
      <c r="F871" s="50"/>
      <c r="G871" s="50"/>
      <c r="H871" s="50"/>
      <c r="I871" s="50"/>
      <c r="J871" s="50"/>
      <c r="K871" s="41"/>
      <c r="L871" s="50"/>
      <c r="M871" s="50"/>
      <c r="N871" s="50"/>
      <c r="O871" s="50"/>
      <c r="P871" s="50"/>
      <c r="Q871" s="50"/>
      <c r="R871" s="50"/>
    </row>
    <row r="872" spans="1:18" x14ac:dyDescent="0.35">
      <c r="A872" s="29" t="s">
        <v>1451</v>
      </c>
      <c r="B872" s="49">
        <f>VLOOKUP(B870,'Working BOQ'!A:N,14,0)</f>
        <v>1380</v>
      </c>
      <c r="C872" s="41"/>
      <c r="D872" s="50"/>
      <c r="E872" s="50"/>
      <c r="F872" s="50"/>
      <c r="G872" s="50"/>
      <c r="H872" s="50"/>
      <c r="I872" s="50"/>
      <c r="J872" s="50"/>
      <c r="K872" s="41"/>
      <c r="L872" s="50"/>
      <c r="M872" s="50"/>
      <c r="N872" s="50"/>
      <c r="O872" s="50"/>
      <c r="P872" s="50"/>
      <c r="Q872" s="50"/>
      <c r="R872" s="50"/>
    </row>
    <row r="873" spans="1:18" x14ac:dyDescent="0.35">
      <c r="A873" s="29" t="s">
        <v>1</v>
      </c>
      <c r="B873" s="49" t="str">
        <f>VLOOKUP(B870,'Working BOQ'!A:K,11,0)</f>
        <v>sqm</v>
      </c>
      <c r="C873" s="41"/>
      <c r="D873" s="50"/>
      <c r="E873" s="50"/>
      <c r="F873" s="50"/>
      <c r="G873" s="50"/>
      <c r="H873" s="50"/>
      <c r="I873" s="50"/>
      <c r="J873" s="50"/>
      <c r="K873" s="41"/>
      <c r="L873" s="50"/>
      <c r="M873" s="50"/>
      <c r="N873" s="50"/>
      <c r="O873" s="50"/>
      <c r="P873" s="50"/>
      <c r="Q873" s="50"/>
      <c r="R873" s="50"/>
    </row>
    <row r="874" spans="1:18" s="6" customFormat="1" x14ac:dyDescent="0.35">
      <c r="A874" s="24" t="s">
        <v>110</v>
      </c>
      <c r="B874" s="5" t="s">
        <v>112</v>
      </c>
      <c r="C874" s="5" t="s">
        <v>111</v>
      </c>
      <c r="D874" s="16" t="s">
        <v>1200</v>
      </c>
      <c r="E874" s="16" t="s">
        <v>1200</v>
      </c>
      <c r="F874" s="16" t="s">
        <v>1452</v>
      </c>
      <c r="G874" s="16" t="s">
        <v>1453</v>
      </c>
      <c r="H874" s="16" t="s">
        <v>1454</v>
      </c>
      <c r="I874" s="16" t="s">
        <v>1455</v>
      </c>
      <c r="J874" s="16" t="s">
        <v>3</v>
      </c>
      <c r="K874" s="5" t="s">
        <v>1</v>
      </c>
      <c r="L874" s="16" t="s">
        <v>1456</v>
      </c>
      <c r="M874" s="16" t="s">
        <v>1457</v>
      </c>
      <c r="N874" s="16" t="s">
        <v>1458</v>
      </c>
      <c r="O874" s="16" t="s">
        <v>1459</v>
      </c>
      <c r="P874" s="16" t="s">
        <v>1122</v>
      </c>
      <c r="Q874" s="16" t="s">
        <v>1486</v>
      </c>
      <c r="R874" s="16" t="s">
        <v>1498</v>
      </c>
    </row>
    <row r="875" spans="1:18" x14ac:dyDescent="0.35">
      <c r="A875" s="27"/>
      <c r="B875" s="41"/>
      <c r="C875" s="41"/>
      <c r="D875" s="50"/>
      <c r="E875" s="50"/>
      <c r="F875" s="50"/>
      <c r="G875" s="50"/>
      <c r="H875" s="50"/>
      <c r="I875" s="50"/>
      <c r="J875" s="50"/>
      <c r="K875" s="41"/>
      <c r="L875" s="50"/>
      <c r="M875" s="50"/>
      <c r="N875" s="50"/>
      <c r="O875" s="50"/>
      <c r="P875" s="50"/>
      <c r="Q875" s="50"/>
      <c r="R875" s="50"/>
    </row>
    <row r="876" spans="1:18" x14ac:dyDescent="0.35">
      <c r="A876" s="26">
        <v>1</v>
      </c>
      <c r="B876" s="8" t="s">
        <v>1544</v>
      </c>
      <c r="C876" s="41" t="str">
        <f>VLOOKUP(B876,'Project Resource Master'!C:N,5,0)</f>
        <v>Solid Block Grade A</v>
      </c>
      <c r="D876" s="50">
        <v>100</v>
      </c>
      <c r="E876" s="50">
        <v>2</v>
      </c>
      <c r="F876" s="50">
        <v>1</v>
      </c>
      <c r="G876" s="50">
        <v>1</v>
      </c>
      <c r="H876" s="50">
        <v>1</v>
      </c>
      <c r="I876" s="50">
        <v>1</v>
      </c>
      <c r="J876" s="50">
        <f>PRODUCT(D876:I876)</f>
        <v>200</v>
      </c>
      <c r="K876" s="41" t="str">
        <f>VLOOKUP(B876,'Project Resource Master'!C:N,6,0)</f>
        <v>nos</v>
      </c>
      <c r="L876" s="50">
        <f>VLOOKUP(B876,'Project Resource Master'!C:N,11,0)</f>
        <v>0.1</v>
      </c>
      <c r="M876" s="50">
        <f>J876*L876</f>
        <v>20</v>
      </c>
      <c r="N876" s="50">
        <f>+J876+M876</f>
        <v>220</v>
      </c>
      <c r="O876" s="50">
        <f>VLOOKUP(B876,'Project Resource Master'!C:N,12,0)</f>
        <v>50</v>
      </c>
      <c r="P876" s="50">
        <f>+O876*N876</f>
        <v>11000</v>
      </c>
      <c r="Q876" s="50">
        <f>+N876*B872</f>
        <v>303600</v>
      </c>
      <c r="R876" s="50">
        <f>Q876*O876</f>
        <v>15180000</v>
      </c>
    </row>
    <row r="877" spans="1:18" x14ac:dyDescent="0.35">
      <c r="A877" s="26">
        <v>2</v>
      </c>
      <c r="B877" s="8" t="s">
        <v>1539</v>
      </c>
      <c r="C877" s="41" t="str">
        <f>VLOOKUP(B877,'Project Resource Master'!C:N,5,0)</f>
        <v>Cement OPC 43 Grade</v>
      </c>
      <c r="D877" s="50">
        <v>7.5</v>
      </c>
      <c r="E877" s="50">
        <v>2</v>
      </c>
      <c r="F877" s="50">
        <v>1</v>
      </c>
      <c r="G877" s="50">
        <v>1</v>
      </c>
      <c r="H877" s="50">
        <v>1</v>
      </c>
      <c r="I877" s="50">
        <v>1</v>
      </c>
      <c r="J877" s="50">
        <f>PRODUCT(D877:I877)</f>
        <v>15</v>
      </c>
      <c r="K877" s="41" t="str">
        <f>VLOOKUP(B877,'Project Resource Master'!C:N,6,0)</f>
        <v>bag</v>
      </c>
      <c r="L877" s="50">
        <f>VLOOKUP(B877,'Project Resource Master'!C:N,11,0)</f>
        <v>0.1</v>
      </c>
      <c r="M877" s="50">
        <f>J877*L877</f>
        <v>1.5</v>
      </c>
      <c r="N877" s="50">
        <f>+J877+M877</f>
        <v>16.5</v>
      </c>
      <c r="O877" s="50">
        <f>VLOOKUP(B877,'Project Resource Master'!C:N,12,0)</f>
        <v>50</v>
      </c>
      <c r="P877" s="50">
        <f>+O877*N877</f>
        <v>825</v>
      </c>
      <c r="Q877" s="50">
        <f>+N877*B872</f>
        <v>22770</v>
      </c>
      <c r="R877" s="50">
        <f>Q877*O877</f>
        <v>1138500</v>
      </c>
    </row>
    <row r="878" spans="1:18" x14ac:dyDescent="0.35">
      <c r="A878" s="26">
        <v>3</v>
      </c>
      <c r="B878" s="8" t="s">
        <v>1556</v>
      </c>
      <c r="C878" s="41" t="str">
        <f>VLOOKUP(B878,'Project Resource Master'!C:N,5,0)</f>
        <v>P-Sand Grade A</v>
      </c>
      <c r="D878" s="50">
        <v>2</v>
      </c>
      <c r="E878" s="50">
        <v>2</v>
      </c>
      <c r="F878" s="50">
        <v>1</v>
      </c>
      <c r="G878" s="50">
        <v>1</v>
      </c>
      <c r="H878" s="50">
        <v>1</v>
      </c>
      <c r="I878" s="50">
        <v>1</v>
      </c>
      <c r="J878" s="50">
        <f>PRODUCT(D878:I878)</f>
        <v>4</v>
      </c>
      <c r="K878" s="41" t="str">
        <f>VLOOKUP(B878,'Project Resource Master'!C:N,6,0)</f>
        <v>unit</v>
      </c>
      <c r="L878" s="50">
        <f>VLOOKUP(B878,'Project Resource Master'!C:N,11,0)</f>
        <v>0.05</v>
      </c>
      <c r="M878" s="50">
        <f>J878*L878</f>
        <v>0.2</v>
      </c>
      <c r="N878" s="50">
        <f>+J878+M878</f>
        <v>4.2</v>
      </c>
      <c r="O878" s="50">
        <f>VLOOKUP(B878,'Project Resource Master'!C:N,12,0)</f>
        <v>50</v>
      </c>
      <c r="P878" s="50">
        <f>+O878*N878</f>
        <v>210</v>
      </c>
      <c r="Q878" s="50">
        <f>+N878*B872</f>
        <v>5796</v>
      </c>
      <c r="R878" s="50">
        <f>Q878*O878</f>
        <v>289800</v>
      </c>
    </row>
    <row r="879" spans="1:18" x14ac:dyDescent="0.35">
      <c r="A879" s="26">
        <v>4</v>
      </c>
      <c r="B879" s="8" t="s">
        <v>1541</v>
      </c>
      <c r="C879" s="41" t="str">
        <f>VLOOKUP(B879,'Project Resource Master'!C:N,5,0)</f>
        <v>Water - Grade A</v>
      </c>
      <c r="D879" s="50">
        <v>20</v>
      </c>
      <c r="E879" s="50">
        <v>2</v>
      </c>
      <c r="F879" s="50">
        <v>1</v>
      </c>
      <c r="G879" s="50">
        <v>1</v>
      </c>
      <c r="H879" s="50">
        <v>1</v>
      </c>
      <c r="I879" s="50">
        <v>1</v>
      </c>
      <c r="J879" s="50">
        <f>PRODUCT(D879:I879)</f>
        <v>40</v>
      </c>
      <c r="K879" s="41" t="str">
        <f>VLOOKUP(B879,'Project Resource Master'!C:N,6,0)</f>
        <v>ltr</v>
      </c>
      <c r="L879" s="50">
        <f>VLOOKUP(B879,'Project Resource Master'!C:N,11,0)</f>
        <v>0.05</v>
      </c>
      <c r="M879" s="50">
        <f>J879*L879</f>
        <v>2</v>
      </c>
      <c r="N879" s="50">
        <f>+J879+M879</f>
        <v>42</v>
      </c>
      <c r="O879" s="50">
        <f>VLOOKUP(B879,'Project Resource Master'!C:N,12,0)</f>
        <v>50</v>
      </c>
      <c r="P879" s="50">
        <f>+O879*N879</f>
        <v>2100</v>
      </c>
      <c r="Q879" s="50">
        <f>+N879*B872</f>
        <v>57960</v>
      </c>
      <c r="R879" s="50">
        <f>Q879*O879</f>
        <v>2898000</v>
      </c>
    </row>
    <row r="880" spans="1:18" x14ac:dyDescent="0.35">
      <c r="A880" s="26">
        <v>5</v>
      </c>
      <c r="B880" s="8" t="s">
        <v>1489</v>
      </c>
      <c r="C880" s="41" t="str">
        <f>VLOOKUP(B880,'Project Resource Master'!C:N,5,0)</f>
        <v>Plastering Mason</v>
      </c>
      <c r="D880" s="50">
        <v>20</v>
      </c>
      <c r="E880" s="50">
        <v>2</v>
      </c>
      <c r="F880" s="50">
        <v>1</v>
      </c>
      <c r="G880" s="50">
        <v>1</v>
      </c>
      <c r="H880" s="50">
        <v>1</v>
      </c>
      <c r="I880" s="50">
        <v>1</v>
      </c>
      <c r="J880" s="50">
        <f>PRODUCT(D880:I880)</f>
        <v>40</v>
      </c>
      <c r="K880" s="41" t="str">
        <f>VLOOKUP(B880,'Project Resource Master'!C:N,6,0)</f>
        <v>hr</v>
      </c>
      <c r="L880" s="50">
        <f>VLOOKUP(B880,'Project Resource Master'!C:N,11,0)</f>
        <v>0.05</v>
      </c>
      <c r="M880" s="50">
        <f>J880*L880</f>
        <v>2</v>
      </c>
      <c r="N880" s="50">
        <f>+J880+M880</f>
        <v>42</v>
      </c>
      <c r="O880" s="50">
        <f>VLOOKUP(B880,'Project Resource Master'!C:N,12,0)</f>
        <v>50</v>
      </c>
      <c r="P880" s="50">
        <f>+O880*N880</f>
        <v>2100</v>
      </c>
      <c r="Q880" s="50">
        <f>+N880*B872</f>
        <v>57960</v>
      </c>
      <c r="R880" s="50">
        <f>Q880*O880</f>
        <v>2898000</v>
      </c>
    </row>
    <row r="881" spans="1:18" x14ac:dyDescent="0.35">
      <c r="A881" s="26">
        <v>6</v>
      </c>
      <c r="B881" s="8" t="s">
        <v>1491</v>
      </c>
      <c r="C881" s="41" t="str">
        <f>VLOOKUP(B881,'Project Resource Master'!C:N,5,0)</f>
        <v>Helper</v>
      </c>
      <c r="D881" s="50">
        <v>20</v>
      </c>
      <c r="E881" s="50">
        <v>2</v>
      </c>
      <c r="F881" s="50">
        <v>1</v>
      </c>
      <c r="G881" s="50">
        <v>1</v>
      </c>
      <c r="H881" s="50">
        <v>1</v>
      </c>
      <c r="I881" s="50">
        <v>1</v>
      </c>
      <c r="J881" s="50">
        <f>PRODUCT(D881:I881)</f>
        <v>40</v>
      </c>
      <c r="K881" s="41" t="str">
        <f>VLOOKUP(B881,'Project Resource Master'!C:N,6,0)</f>
        <v>hr</v>
      </c>
      <c r="L881" s="50">
        <f>VLOOKUP(B881,'Project Resource Master'!C:N,11,0)</f>
        <v>0.05</v>
      </c>
      <c r="M881" s="50">
        <f>J881*L881</f>
        <v>2</v>
      </c>
      <c r="N881" s="50">
        <f>+J881+M881</f>
        <v>42</v>
      </c>
      <c r="O881" s="50">
        <f>VLOOKUP(B881,'Project Resource Master'!C:N,12,0)</f>
        <v>50</v>
      </c>
      <c r="P881" s="50">
        <f>+O881*N881</f>
        <v>2100</v>
      </c>
      <c r="Q881" s="50">
        <f>+N881*B872</f>
        <v>57960</v>
      </c>
      <c r="R881" s="50">
        <f>Q881*O881</f>
        <v>2898000</v>
      </c>
    </row>
    <row r="882" spans="1:18" x14ac:dyDescent="0.35">
      <c r="A882" s="27"/>
      <c r="B882" s="41"/>
      <c r="C882" s="41"/>
      <c r="D882" s="50"/>
      <c r="E882" s="50"/>
      <c r="F882" s="50"/>
      <c r="G882" s="50"/>
      <c r="H882" s="50"/>
      <c r="I882" s="50"/>
      <c r="J882" s="50"/>
      <c r="K882" s="41"/>
      <c r="L882" s="50"/>
      <c r="M882" s="50"/>
      <c r="N882" s="50"/>
      <c r="O882" s="50"/>
      <c r="P882" s="50"/>
      <c r="Q882" s="50"/>
      <c r="R882" s="50"/>
    </row>
    <row r="883" spans="1:18" s="14" customFormat="1" x14ac:dyDescent="0.35">
      <c r="A883" s="29" t="str">
        <f>B870</f>
        <v>3o</v>
      </c>
      <c r="B883" s="7"/>
      <c r="C883" s="7" t="s">
        <v>1485</v>
      </c>
      <c r="D883" s="51"/>
      <c r="E883" s="51"/>
      <c r="F883" s="51"/>
      <c r="G883" s="51"/>
      <c r="H883" s="51"/>
      <c r="I883" s="51"/>
      <c r="J883" s="51"/>
      <c r="K883" s="7"/>
      <c r="L883" s="51"/>
      <c r="M883" s="51"/>
      <c r="N883" s="51"/>
      <c r="O883" s="51"/>
      <c r="P883" s="51">
        <f>SUM(P875:P882)</f>
        <v>18335</v>
      </c>
      <c r="Q883" s="51"/>
      <c r="R883" s="51">
        <f>SUM(R875:R882)</f>
        <v>25302300</v>
      </c>
    </row>
    <row r="886" spans="1:18" x14ac:dyDescent="0.35">
      <c r="A886" s="29" t="s">
        <v>1348</v>
      </c>
      <c r="B886" s="49" t="s">
        <v>1391</v>
      </c>
      <c r="C886" s="41"/>
      <c r="D886" s="50"/>
      <c r="E886" s="50"/>
      <c r="F886" s="50"/>
      <c r="G886" s="50"/>
      <c r="H886" s="50"/>
      <c r="I886" s="50"/>
      <c r="J886" s="50"/>
      <c r="K886" s="41"/>
      <c r="L886" s="50"/>
      <c r="M886" s="50"/>
      <c r="N886" s="50"/>
      <c r="O886" s="50"/>
      <c r="P886" s="50"/>
      <c r="Q886" s="50"/>
      <c r="R886" s="50"/>
    </row>
    <row r="887" spans="1:18" ht="29" x14ac:dyDescent="0.35">
      <c r="A887" s="29" t="s">
        <v>1450</v>
      </c>
      <c r="B887" s="49" t="str">
        <f>VLOOKUP(B886,'Working BOQ'!A:K,9,0)</f>
        <v>Gypsum False Ceiling</v>
      </c>
      <c r="C887" s="41"/>
      <c r="D887" s="50"/>
      <c r="E887" s="50"/>
      <c r="F887" s="50"/>
      <c r="G887" s="50"/>
      <c r="H887" s="50"/>
      <c r="I887" s="50"/>
      <c r="J887" s="50"/>
      <c r="K887" s="41"/>
      <c r="L887" s="50"/>
      <c r="M887" s="50"/>
      <c r="N887" s="50"/>
      <c r="O887" s="50"/>
      <c r="P887" s="50"/>
      <c r="Q887" s="50"/>
      <c r="R887" s="50"/>
    </row>
    <row r="888" spans="1:18" x14ac:dyDescent="0.35">
      <c r="A888" s="29" t="s">
        <v>1451</v>
      </c>
      <c r="B888" s="49">
        <f>VLOOKUP(B886,'Working BOQ'!A:N,14,0)</f>
        <v>300</v>
      </c>
      <c r="C888" s="41"/>
      <c r="D888" s="50"/>
      <c r="E888" s="50"/>
      <c r="F888" s="50"/>
      <c r="G888" s="50"/>
      <c r="H888" s="50"/>
      <c r="I888" s="50"/>
      <c r="J888" s="50"/>
      <c r="K888" s="41"/>
      <c r="L888" s="50"/>
      <c r="M888" s="50"/>
      <c r="N888" s="50"/>
      <c r="O888" s="50"/>
      <c r="P888" s="50"/>
      <c r="Q888" s="50"/>
      <c r="R888" s="50"/>
    </row>
    <row r="889" spans="1:18" x14ac:dyDescent="0.35">
      <c r="A889" s="29" t="s">
        <v>1</v>
      </c>
      <c r="B889" s="49" t="str">
        <f>VLOOKUP(B886,'Working BOQ'!A:K,11,0)</f>
        <v>sqm</v>
      </c>
      <c r="C889" s="41"/>
      <c r="D889" s="50"/>
      <c r="E889" s="50"/>
      <c r="F889" s="50"/>
      <c r="G889" s="50"/>
      <c r="H889" s="50"/>
      <c r="I889" s="50"/>
      <c r="J889" s="50"/>
      <c r="K889" s="41"/>
      <c r="L889" s="50"/>
      <c r="M889" s="50"/>
      <c r="N889" s="50"/>
      <c r="O889" s="50"/>
      <c r="P889" s="50"/>
      <c r="Q889" s="50"/>
      <c r="R889" s="50"/>
    </row>
    <row r="890" spans="1:18" s="6" customFormat="1" x14ac:dyDescent="0.35">
      <c r="A890" s="24" t="s">
        <v>110</v>
      </c>
      <c r="B890" s="5" t="s">
        <v>112</v>
      </c>
      <c r="C890" s="5" t="s">
        <v>111</v>
      </c>
      <c r="D890" s="16" t="s">
        <v>1200</v>
      </c>
      <c r="E890" s="16" t="s">
        <v>1200</v>
      </c>
      <c r="F890" s="16" t="s">
        <v>1452</v>
      </c>
      <c r="G890" s="16" t="s">
        <v>1453</v>
      </c>
      <c r="H890" s="16" t="s">
        <v>1454</v>
      </c>
      <c r="I890" s="16" t="s">
        <v>1455</v>
      </c>
      <c r="J890" s="16" t="s">
        <v>3</v>
      </c>
      <c r="K890" s="5" t="s">
        <v>1</v>
      </c>
      <c r="L890" s="16" t="s">
        <v>1456</v>
      </c>
      <c r="M890" s="16" t="s">
        <v>1457</v>
      </c>
      <c r="N890" s="16" t="s">
        <v>1458</v>
      </c>
      <c r="O890" s="16" t="s">
        <v>1459</v>
      </c>
      <c r="P890" s="16" t="s">
        <v>1122</v>
      </c>
      <c r="Q890" s="16" t="s">
        <v>1486</v>
      </c>
      <c r="R890" s="16" t="s">
        <v>1498</v>
      </c>
    </row>
    <row r="891" spans="1:18" x14ac:dyDescent="0.35">
      <c r="A891" s="27"/>
      <c r="B891" s="41"/>
      <c r="C891" s="41"/>
      <c r="D891" s="50"/>
      <c r="E891" s="50"/>
      <c r="F891" s="50"/>
      <c r="G891" s="50"/>
      <c r="H891" s="50"/>
      <c r="I891" s="50"/>
      <c r="J891" s="50"/>
      <c r="K891" s="41"/>
      <c r="L891" s="50"/>
      <c r="M891" s="50"/>
      <c r="N891" s="50"/>
      <c r="O891" s="50"/>
      <c r="P891" s="50"/>
      <c r="Q891" s="50"/>
      <c r="R891" s="50"/>
    </row>
    <row r="892" spans="1:18" x14ac:dyDescent="0.35">
      <c r="A892" s="26">
        <v>1</v>
      </c>
      <c r="B892" s="8" t="s">
        <v>1572</v>
      </c>
      <c r="C892" s="41" t="str">
        <f>VLOOKUP(B892,'Project Resource Master'!C:N,5,0)</f>
        <v>Gypsum False Ceiling</v>
      </c>
      <c r="D892" s="50">
        <v>1</v>
      </c>
      <c r="E892" s="50">
        <v>1</v>
      </c>
      <c r="F892" s="50">
        <v>1</v>
      </c>
      <c r="G892" s="50">
        <v>1</v>
      </c>
      <c r="H892" s="50">
        <v>1</v>
      </c>
      <c r="I892" s="50">
        <v>1</v>
      </c>
      <c r="J892" s="50">
        <f>PRODUCT(D892:I892)</f>
        <v>1</v>
      </c>
      <c r="K892" s="41" t="str">
        <f>VLOOKUP(B892,'Project Resource Master'!C:N,6,0)</f>
        <v>Cost</v>
      </c>
      <c r="L892" s="50">
        <f>VLOOKUP(B892,'Project Resource Master'!C:N,11,0)</f>
        <v>0</v>
      </c>
      <c r="M892" s="50">
        <f>J892*L892</f>
        <v>0</v>
      </c>
      <c r="N892" s="50">
        <f>+J892+M892</f>
        <v>1</v>
      </c>
      <c r="O892" s="50">
        <f>VLOOKUP(B892,'Project Resource Master'!C:N,12,0)</f>
        <v>125</v>
      </c>
      <c r="P892" s="50">
        <f>+O892*N892</f>
        <v>125</v>
      </c>
      <c r="Q892" s="50">
        <f>+N892*B888</f>
        <v>300</v>
      </c>
      <c r="R892" s="50">
        <f>Q892*O892</f>
        <v>37500</v>
      </c>
    </row>
    <row r="893" spans="1:18" x14ac:dyDescent="0.35">
      <c r="A893" s="27"/>
      <c r="B893" s="41"/>
      <c r="C893" s="41"/>
      <c r="D893" s="50"/>
      <c r="E893" s="50"/>
      <c r="F893" s="50"/>
      <c r="G893" s="50"/>
      <c r="H893" s="50"/>
      <c r="I893" s="50"/>
      <c r="J893" s="50"/>
      <c r="K893" s="41"/>
      <c r="L893" s="50"/>
      <c r="M893" s="50"/>
      <c r="N893" s="50"/>
      <c r="O893" s="50"/>
      <c r="P893" s="50"/>
      <c r="Q893" s="50"/>
      <c r="R893" s="50"/>
    </row>
    <row r="894" spans="1:18" s="14" customFormat="1" x14ac:dyDescent="0.35">
      <c r="A894" s="29" t="str">
        <f>B886</f>
        <v>3p</v>
      </c>
      <c r="B894" s="7"/>
      <c r="C894" s="7" t="s">
        <v>1485</v>
      </c>
      <c r="D894" s="51"/>
      <c r="E894" s="51"/>
      <c r="F894" s="51"/>
      <c r="G894" s="51"/>
      <c r="H894" s="51"/>
      <c r="I894" s="51"/>
      <c r="J894" s="51"/>
      <c r="K894" s="7"/>
      <c r="L894" s="51"/>
      <c r="M894" s="51"/>
      <c r="N894" s="51"/>
      <c r="O894" s="51"/>
      <c r="P894" s="51">
        <f>SUM(P891:P893)</f>
        <v>125</v>
      </c>
      <c r="Q894" s="51"/>
      <c r="R894" s="51">
        <f>SUM(R891:R893)</f>
        <v>37500</v>
      </c>
    </row>
  </sheetData>
  <autoFilter ref="A1:R894" xr:uid="{96963B17-BB6C-4C65-B71D-E355D69CFD45}"/>
  <pageMargins left="0.7" right="0.7" top="0.75" bottom="0.75" header="0.3" footer="0.3"/>
  <pageSetup scale="3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D69F-2ACA-42E1-AB3F-F9828529E305}">
  <dimension ref="A1:M55"/>
  <sheetViews>
    <sheetView view="pageBreakPreview" zoomScaleNormal="100" zoomScaleSheetLayoutView="100" workbookViewId="0">
      <selection activeCell="H17" sqref="H17:I17"/>
    </sheetView>
  </sheetViews>
  <sheetFormatPr defaultRowHeight="14.5" x14ac:dyDescent="0.35"/>
  <cols>
    <col min="1" max="1" width="6.36328125" style="9" bestFit="1" customWidth="1"/>
    <col min="2" max="2" width="9.54296875" style="9" bestFit="1" customWidth="1"/>
    <col min="3" max="3" width="30.81640625" bestFit="1" customWidth="1"/>
    <col min="4" max="4" width="4.81640625" style="9" bestFit="1" customWidth="1"/>
    <col min="5" max="5" width="4.6328125" style="9" bestFit="1" customWidth="1"/>
    <col min="6" max="6" width="11.08984375" style="39" bestFit="1" customWidth="1"/>
    <col min="7" max="7" width="12.7265625" style="39" bestFit="1" customWidth="1"/>
    <col min="8" max="8" width="11.08984375" style="39" bestFit="1" customWidth="1"/>
    <col min="9" max="9" width="12.7265625" style="39" bestFit="1" customWidth="1"/>
    <col min="10" max="10" width="11.08984375" style="39" bestFit="1" customWidth="1"/>
    <col min="11" max="11" width="12.7265625" style="39" bestFit="1" customWidth="1"/>
    <col min="12" max="12" width="11.08984375" style="39" bestFit="1" customWidth="1"/>
    <col min="13" max="13" width="12.7265625" style="39" bestFit="1" customWidth="1"/>
  </cols>
  <sheetData>
    <row r="1" spans="1:13" s="14" customFormat="1" x14ac:dyDescent="0.35">
      <c r="A1" s="62" t="s">
        <v>110</v>
      </c>
      <c r="B1" s="62" t="s">
        <v>1348</v>
      </c>
      <c r="C1" s="62" t="s">
        <v>1547</v>
      </c>
      <c r="D1" s="62" t="s">
        <v>1263</v>
      </c>
      <c r="E1" s="62" t="s">
        <v>1</v>
      </c>
      <c r="F1" s="63" t="s">
        <v>1548</v>
      </c>
      <c r="G1" s="63"/>
      <c r="H1" s="63" t="s">
        <v>1549</v>
      </c>
      <c r="I1" s="63"/>
      <c r="J1" s="63" t="s">
        <v>1550</v>
      </c>
      <c r="K1" s="63"/>
      <c r="L1" s="63" t="s">
        <v>1551</v>
      </c>
      <c r="M1" s="63"/>
    </row>
    <row r="2" spans="1:13" s="14" customFormat="1" x14ac:dyDescent="0.35">
      <c r="A2" s="62"/>
      <c r="B2" s="62"/>
      <c r="C2" s="62"/>
      <c r="D2" s="62"/>
      <c r="E2" s="62"/>
      <c r="F2" s="16" t="s">
        <v>75</v>
      </c>
      <c r="G2" s="16" t="s">
        <v>1122</v>
      </c>
      <c r="H2" s="16" t="s">
        <v>75</v>
      </c>
      <c r="I2" s="16" t="s">
        <v>1122</v>
      </c>
      <c r="J2" s="16" t="s">
        <v>75</v>
      </c>
      <c r="K2" s="16" t="s">
        <v>1122</v>
      </c>
      <c r="L2" s="16" t="s">
        <v>75</v>
      </c>
      <c r="M2" s="16" t="s">
        <v>1122</v>
      </c>
    </row>
    <row r="3" spans="1:13" x14ac:dyDescent="0.35">
      <c r="A3" s="8">
        <v>1</v>
      </c>
      <c r="B3" s="8" t="s">
        <v>1379</v>
      </c>
      <c r="C3" s="4" t="str">
        <f>VLOOKUP(B3,'Working BOQ'!A:N,9,0)</f>
        <v>Pre-tensioning works</v>
      </c>
      <c r="D3" s="8">
        <f>VLOOKUP(B3,'Working BOQ'!A:N,10,0)</f>
        <v>1</v>
      </c>
      <c r="E3" s="8" t="str">
        <f>VLOOKUP(B3,'Working BOQ'!A:N,11,0)</f>
        <v>L/s</v>
      </c>
      <c r="F3" s="38">
        <v>150000</v>
      </c>
      <c r="G3" s="38">
        <f>+F3*D3</f>
        <v>150000</v>
      </c>
      <c r="H3" s="38">
        <v>125000</v>
      </c>
      <c r="I3" s="38">
        <f>+H3*D3</f>
        <v>125000</v>
      </c>
      <c r="J3" s="38">
        <v>123500</v>
      </c>
      <c r="K3" s="38">
        <f>+J3*D3</f>
        <v>123500</v>
      </c>
      <c r="L3" s="38">
        <f>MIN(F3,H3,J3)</f>
        <v>123500</v>
      </c>
      <c r="M3" s="38">
        <f>+L3*D3</f>
        <v>123500</v>
      </c>
    </row>
    <row r="4" spans="1:13" x14ac:dyDescent="0.35">
      <c r="A4" s="8"/>
      <c r="B4" s="8"/>
      <c r="C4" s="4"/>
      <c r="D4" s="8"/>
      <c r="E4" s="8"/>
      <c r="F4" s="38"/>
      <c r="G4" s="38"/>
      <c r="H4" s="38"/>
      <c r="I4" s="38"/>
      <c r="J4" s="38"/>
      <c r="K4" s="38"/>
      <c r="L4" s="38"/>
      <c r="M4" s="38"/>
    </row>
    <row r="5" spans="1:13" s="6" customFormat="1" x14ac:dyDescent="0.35">
      <c r="A5" s="5"/>
      <c r="B5" s="5"/>
      <c r="C5" s="5" t="s">
        <v>1498</v>
      </c>
      <c r="D5" s="5"/>
      <c r="E5" s="5"/>
      <c r="F5" s="16"/>
      <c r="G5" s="16">
        <f>SUM(G3:G4)</f>
        <v>150000</v>
      </c>
      <c r="H5" s="16"/>
      <c r="I5" s="16">
        <f>SUM(I3:I4)</f>
        <v>125000</v>
      </c>
      <c r="J5" s="16"/>
      <c r="K5" s="16">
        <f>SUM(K3:K4)</f>
        <v>123500</v>
      </c>
      <c r="L5" s="16"/>
      <c r="M5" s="16">
        <f>SUM(M3:M4)</f>
        <v>123500</v>
      </c>
    </row>
    <row r="8" spans="1:13" s="14" customFormat="1" x14ac:dyDescent="0.35">
      <c r="A8" s="62" t="s">
        <v>110</v>
      </c>
      <c r="B8" s="62" t="s">
        <v>1348</v>
      </c>
      <c r="C8" s="62" t="s">
        <v>1547</v>
      </c>
      <c r="D8" s="62" t="s">
        <v>1263</v>
      </c>
      <c r="E8" s="62" t="s">
        <v>1</v>
      </c>
      <c r="F8" s="63" t="s">
        <v>1548</v>
      </c>
      <c r="G8" s="63"/>
      <c r="H8" s="63" t="s">
        <v>1552</v>
      </c>
      <c r="I8" s="63"/>
      <c r="J8" s="63" t="s">
        <v>1553</v>
      </c>
      <c r="K8" s="63"/>
      <c r="L8" s="63" t="s">
        <v>1551</v>
      </c>
      <c r="M8" s="63"/>
    </row>
    <row r="9" spans="1:13" s="14" customFormat="1" x14ac:dyDescent="0.35">
      <c r="A9" s="62"/>
      <c r="B9" s="62"/>
      <c r="C9" s="62"/>
      <c r="D9" s="62"/>
      <c r="E9" s="62"/>
      <c r="F9" s="16" t="s">
        <v>75</v>
      </c>
      <c r="G9" s="16" t="s">
        <v>1122</v>
      </c>
      <c r="H9" s="16" t="s">
        <v>75</v>
      </c>
      <c r="I9" s="16" t="s">
        <v>1122</v>
      </c>
      <c r="J9" s="16" t="s">
        <v>75</v>
      </c>
      <c r="K9" s="16" t="s">
        <v>1122</v>
      </c>
      <c r="L9" s="16" t="s">
        <v>75</v>
      </c>
      <c r="M9" s="16" t="s">
        <v>1122</v>
      </c>
    </row>
    <row r="10" spans="1:13" x14ac:dyDescent="0.35">
      <c r="A10" s="8">
        <v>1</v>
      </c>
      <c r="B10" s="26" t="s">
        <v>1380</v>
      </c>
      <c r="C10" s="4" t="str">
        <f>VLOOKUP(B10,'Working BOQ'!A:N,9,0)</f>
        <v>Shuttering for Columns</v>
      </c>
      <c r="D10" s="8">
        <f>VLOOKUP(B10,'Working BOQ'!A:N,10,0)</f>
        <v>6850</v>
      </c>
      <c r="E10" s="8" t="str">
        <f>VLOOKUP(B10,'Working BOQ'!A:N,11,0)</f>
        <v>sqm</v>
      </c>
      <c r="F10" s="38">
        <v>250</v>
      </c>
      <c r="G10" s="38">
        <f>+F10*D10</f>
        <v>1712500</v>
      </c>
      <c r="H10" s="38">
        <v>200</v>
      </c>
      <c r="I10" s="38">
        <f>+H10*D10</f>
        <v>1370000</v>
      </c>
      <c r="J10" s="38">
        <v>150</v>
      </c>
      <c r="K10" s="38">
        <f>+J10*D10</f>
        <v>1027500</v>
      </c>
      <c r="L10" s="38">
        <f>MIN(F10,H10,J10)</f>
        <v>150</v>
      </c>
      <c r="M10" s="38">
        <f>+L10*D10</f>
        <v>1027500</v>
      </c>
    </row>
    <row r="11" spans="1:13" x14ac:dyDescent="0.35">
      <c r="A11" s="8">
        <v>2</v>
      </c>
      <c r="B11" s="26" t="s">
        <v>1381</v>
      </c>
      <c r="C11" s="4" t="str">
        <f>VLOOKUP(B11,'Working BOQ'!A:N,9,0)</f>
        <v>Shuttering for Beams</v>
      </c>
      <c r="D11" s="8">
        <f>VLOOKUP(B11,'Working BOQ'!A:N,10,0)</f>
        <v>1000</v>
      </c>
      <c r="E11" s="8" t="str">
        <f>VLOOKUP(B11,'Working BOQ'!A:N,11,0)</f>
        <v>sqm</v>
      </c>
      <c r="F11" s="38">
        <v>250</v>
      </c>
      <c r="G11" s="38">
        <f>+F11*D11</f>
        <v>250000</v>
      </c>
      <c r="H11" s="38">
        <v>280</v>
      </c>
      <c r="I11" s="38">
        <f>+H11*D11</f>
        <v>280000</v>
      </c>
      <c r="J11" s="38">
        <v>180</v>
      </c>
      <c r="K11" s="38">
        <f>+J11*D11</f>
        <v>180000</v>
      </c>
      <c r="L11" s="38">
        <f>MIN(F11,H11,J11)</f>
        <v>180</v>
      </c>
      <c r="M11" s="38">
        <f>+L11*D11</f>
        <v>180000</v>
      </c>
    </row>
    <row r="12" spans="1:13" x14ac:dyDescent="0.35">
      <c r="A12" s="8">
        <v>3</v>
      </c>
      <c r="B12" s="26" t="s">
        <v>1382</v>
      </c>
      <c r="C12" s="4" t="str">
        <f>VLOOKUP(B12,'Working BOQ'!A:N,9,0)</f>
        <v>Shuttering for Slabs</v>
      </c>
      <c r="D12" s="8">
        <f>VLOOKUP(B12,'Working BOQ'!A:N,10,0)</f>
        <v>2000</v>
      </c>
      <c r="E12" s="8" t="str">
        <f>VLOOKUP(B12,'Working BOQ'!A:N,11,0)</f>
        <v>sqm</v>
      </c>
      <c r="F12" s="38">
        <v>250</v>
      </c>
      <c r="G12" s="38">
        <f>+F12*D12</f>
        <v>500000</v>
      </c>
      <c r="H12" s="38">
        <v>200</v>
      </c>
      <c r="I12" s="38">
        <f>+H12*D12</f>
        <v>400000</v>
      </c>
      <c r="J12" s="38">
        <v>190</v>
      </c>
      <c r="K12" s="38">
        <f>+J12*D12</f>
        <v>380000</v>
      </c>
      <c r="L12" s="38">
        <f>MIN(F12,H12,J12)</f>
        <v>190</v>
      </c>
      <c r="M12" s="38">
        <f>+L12*D12</f>
        <v>380000</v>
      </c>
    </row>
    <row r="13" spans="1:13" x14ac:dyDescent="0.35">
      <c r="A13" s="8"/>
      <c r="B13" s="8"/>
      <c r="C13" s="4"/>
      <c r="D13" s="8"/>
      <c r="E13" s="8"/>
      <c r="F13" s="38"/>
      <c r="G13" s="38"/>
      <c r="H13" s="38"/>
      <c r="I13" s="38"/>
      <c r="J13" s="38"/>
      <c r="K13" s="38"/>
      <c r="L13" s="38"/>
      <c r="M13" s="38"/>
    </row>
    <row r="14" spans="1:13" s="6" customFormat="1" x14ac:dyDescent="0.35">
      <c r="A14" s="5"/>
      <c r="B14" s="5"/>
      <c r="C14" s="5" t="s">
        <v>1498</v>
      </c>
      <c r="D14" s="5"/>
      <c r="E14" s="5"/>
      <c r="F14" s="16"/>
      <c r="G14" s="16">
        <f>SUM(G10:G13)</f>
        <v>2462500</v>
      </c>
      <c r="H14" s="16"/>
      <c r="I14" s="16">
        <f>SUM(I10:I13)</f>
        <v>2050000</v>
      </c>
      <c r="J14" s="16"/>
      <c r="K14" s="16">
        <f>SUM(K10:K13)</f>
        <v>1587500</v>
      </c>
      <c r="L14" s="16"/>
      <c r="M14" s="16">
        <f>SUM(M10:M13)</f>
        <v>1587500</v>
      </c>
    </row>
    <row r="17" spans="1:13" s="14" customFormat="1" x14ac:dyDescent="0.35">
      <c r="A17" s="62" t="s">
        <v>110</v>
      </c>
      <c r="B17" s="62" t="s">
        <v>1348</v>
      </c>
      <c r="C17" s="62" t="s">
        <v>1547</v>
      </c>
      <c r="D17" s="62" t="s">
        <v>1263</v>
      </c>
      <c r="E17" s="62" t="s">
        <v>1</v>
      </c>
      <c r="F17" s="63" t="s">
        <v>1549</v>
      </c>
      <c r="G17" s="63"/>
      <c r="H17" s="63" t="s">
        <v>1554</v>
      </c>
      <c r="I17" s="63"/>
      <c r="J17" s="63" t="s">
        <v>1555</v>
      </c>
      <c r="K17" s="63"/>
      <c r="L17" s="63" t="s">
        <v>1551</v>
      </c>
      <c r="M17" s="63"/>
    </row>
    <row r="18" spans="1:13" s="14" customFormat="1" x14ac:dyDescent="0.35">
      <c r="A18" s="62"/>
      <c r="B18" s="62"/>
      <c r="C18" s="62"/>
      <c r="D18" s="62"/>
      <c r="E18" s="62"/>
      <c r="F18" s="16" t="s">
        <v>75</v>
      </c>
      <c r="G18" s="16" t="s">
        <v>1122</v>
      </c>
      <c r="H18" s="16" t="s">
        <v>75</v>
      </c>
      <c r="I18" s="16" t="s">
        <v>1122</v>
      </c>
      <c r="J18" s="16" t="s">
        <v>75</v>
      </c>
      <c r="K18" s="16" t="s">
        <v>1122</v>
      </c>
      <c r="L18" s="16" t="s">
        <v>75</v>
      </c>
      <c r="M18" s="16" t="s">
        <v>1122</v>
      </c>
    </row>
    <row r="19" spans="1:13" x14ac:dyDescent="0.35">
      <c r="A19" s="8">
        <v>1</v>
      </c>
      <c r="B19" s="26" t="s">
        <v>1383</v>
      </c>
      <c r="C19" s="4" t="str">
        <f>VLOOKUP(B19,'Working BOQ'!A:N,9,0)</f>
        <v>Scaffolding for Columns</v>
      </c>
      <c r="D19" s="8">
        <f>VLOOKUP(B19,'Working BOQ'!A:N,10,0)</f>
        <v>6850</v>
      </c>
      <c r="E19" s="8" t="str">
        <f>VLOOKUP(B19,'Working BOQ'!A:N,11,0)</f>
        <v>sqm</v>
      </c>
      <c r="F19" s="38">
        <v>100</v>
      </c>
      <c r="G19" s="38">
        <f>+F19*D19</f>
        <v>685000</v>
      </c>
      <c r="H19" s="38">
        <v>80</v>
      </c>
      <c r="I19" s="38">
        <f>+H19*D19</f>
        <v>548000</v>
      </c>
      <c r="J19" s="38">
        <v>120</v>
      </c>
      <c r="K19" s="38">
        <f>+J19*D19</f>
        <v>822000</v>
      </c>
      <c r="L19" s="38">
        <f>MIN(F19,H19,J19)</f>
        <v>80</v>
      </c>
      <c r="M19" s="38">
        <f>+L19*D19</f>
        <v>548000</v>
      </c>
    </row>
    <row r="20" spans="1:13" x14ac:dyDescent="0.35">
      <c r="A20" s="8">
        <v>2</v>
      </c>
      <c r="B20" s="26" t="s">
        <v>1384</v>
      </c>
      <c r="C20" s="4" t="str">
        <f>VLOOKUP(B20,'Working BOQ'!A:N,9,0)</f>
        <v>Scaffolding for Beams</v>
      </c>
      <c r="D20" s="8">
        <f>VLOOKUP(B20,'Working BOQ'!A:N,10,0)</f>
        <v>1400</v>
      </c>
      <c r="E20" s="8" t="str">
        <f>VLOOKUP(B20,'Working BOQ'!A:N,11,0)</f>
        <v>sqm</v>
      </c>
      <c r="F20" s="38">
        <v>100</v>
      </c>
      <c r="G20" s="38">
        <f>+F20*D20</f>
        <v>140000</v>
      </c>
      <c r="H20" s="38">
        <v>90</v>
      </c>
      <c r="I20" s="38">
        <f>+H20*D20</f>
        <v>126000</v>
      </c>
      <c r="J20" s="38">
        <v>50</v>
      </c>
      <c r="K20" s="38">
        <f>+J20*D20</f>
        <v>70000</v>
      </c>
      <c r="L20" s="38">
        <f>MIN(F20,H20,J20)</f>
        <v>50</v>
      </c>
      <c r="M20" s="38">
        <f>+L20*D20</f>
        <v>70000</v>
      </c>
    </row>
    <row r="21" spans="1:13" x14ac:dyDescent="0.35">
      <c r="A21" s="8">
        <v>3</v>
      </c>
      <c r="B21" s="26" t="s">
        <v>1385</v>
      </c>
      <c r="C21" s="4" t="str">
        <f>VLOOKUP(B21,'Working BOQ'!A:N,9,0)</f>
        <v>Scaffolding for Slabs</v>
      </c>
      <c r="D21" s="8">
        <f>VLOOKUP(B21,'Working BOQ'!A:N,10,0)</f>
        <v>2000</v>
      </c>
      <c r="E21" s="8" t="str">
        <f>VLOOKUP(B21,'Working BOQ'!A:N,11,0)</f>
        <v>sqm</v>
      </c>
      <c r="F21" s="38">
        <v>100</v>
      </c>
      <c r="G21" s="38">
        <f>+F21*D21</f>
        <v>200000</v>
      </c>
      <c r="H21" s="38">
        <v>100</v>
      </c>
      <c r="I21" s="38">
        <f>+H21*D21</f>
        <v>200000</v>
      </c>
      <c r="J21" s="38">
        <v>80</v>
      </c>
      <c r="K21" s="38">
        <f>+J21*D21</f>
        <v>160000</v>
      </c>
      <c r="L21" s="38">
        <f>MIN(F21,H21,J21)</f>
        <v>80</v>
      </c>
      <c r="M21" s="38">
        <f>+L21*D21</f>
        <v>160000</v>
      </c>
    </row>
    <row r="22" spans="1:13" x14ac:dyDescent="0.35">
      <c r="A22" s="8"/>
      <c r="B22" s="8"/>
      <c r="C22" s="4"/>
      <c r="D22" s="8"/>
      <c r="E22" s="8"/>
      <c r="F22" s="38"/>
      <c r="G22" s="38"/>
      <c r="H22" s="38"/>
      <c r="I22" s="38"/>
      <c r="J22" s="38"/>
      <c r="K22" s="38"/>
      <c r="L22" s="38"/>
      <c r="M22" s="38"/>
    </row>
    <row r="23" spans="1:13" s="6" customFormat="1" x14ac:dyDescent="0.35">
      <c r="A23" s="5"/>
      <c r="B23" s="5"/>
      <c r="C23" s="5" t="s">
        <v>1498</v>
      </c>
      <c r="D23" s="5"/>
      <c r="E23" s="5"/>
      <c r="F23" s="16"/>
      <c r="G23" s="16">
        <f>SUM(G19:G22)</f>
        <v>1025000</v>
      </c>
      <c r="H23" s="16"/>
      <c r="I23" s="16">
        <f>SUM(I19:I22)</f>
        <v>874000</v>
      </c>
      <c r="J23" s="16"/>
      <c r="K23" s="16">
        <f>SUM(K19:K22)</f>
        <v>1052000</v>
      </c>
      <c r="L23" s="16"/>
      <c r="M23" s="16">
        <f>SUM(M19:M22)</f>
        <v>778000</v>
      </c>
    </row>
    <row r="26" spans="1:13" s="14" customFormat="1" x14ac:dyDescent="0.35">
      <c r="A26" s="62" t="s">
        <v>110</v>
      </c>
      <c r="B26" s="62" t="s">
        <v>1348</v>
      </c>
      <c r="C26" s="62" t="s">
        <v>1547</v>
      </c>
      <c r="D26" s="62" t="s">
        <v>1263</v>
      </c>
      <c r="E26" s="62" t="s">
        <v>1</v>
      </c>
      <c r="F26" s="63" t="s">
        <v>1549</v>
      </c>
      <c r="G26" s="63"/>
      <c r="H26" s="63" t="s">
        <v>1554</v>
      </c>
      <c r="I26" s="63"/>
      <c r="J26" s="63" t="s">
        <v>1555</v>
      </c>
      <c r="K26" s="63"/>
      <c r="L26" s="63" t="s">
        <v>1551</v>
      </c>
      <c r="M26" s="63"/>
    </row>
    <row r="27" spans="1:13" s="14" customFormat="1" x14ac:dyDescent="0.35">
      <c r="A27" s="62"/>
      <c r="B27" s="62"/>
      <c r="C27" s="62"/>
      <c r="D27" s="62"/>
      <c r="E27" s="62"/>
      <c r="F27" s="16" t="s">
        <v>75</v>
      </c>
      <c r="G27" s="16" t="s">
        <v>1122</v>
      </c>
      <c r="H27" s="16" t="s">
        <v>75</v>
      </c>
      <c r="I27" s="16" t="s">
        <v>1122</v>
      </c>
      <c r="J27" s="16" t="s">
        <v>75</v>
      </c>
      <c r="K27" s="16" t="s">
        <v>1122</v>
      </c>
      <c r="L27" s="16" t="s">
        <v>75</v>
      </c>
      <c r="M27" s="16" t="s">
        <v>1122</v>
      </c>
    </row>
    <row r="28" spans="1:13" x14ac:dyDescent="0.35">
      <c r="A28" s="8">
        <v>1</v>
      </c>
      <c r="B28" s="26" t="s">
        <v>1386</v>
      </c>
      <c r="C28" s="4" t="str">
        <f>VLOOKUP(B28,'Working BOQ'!A:N,9,0)</f>
        <v>100mm Gypsum Partitions</v>
      </c>
      <c r="D28" s="8">
        <f>VLOOKUP(B28,'Working BOQ'!A:N,10,0)</f>
        <v>680</v>
      </c>
      <c r="E28" s="8" t="str">
        <f>VLOOKUP(B28,'Working BOQ'!A:N,11,0)</f>
        <v>sqm</v>
      </c>
      <c r="F28" s="38">
        <v>150</v>
      </c>
      <c r="G28" s="38">
        <f>+F28*D28</f>
        <v>102000</v>
      </c>
      <c r="H28" s="38">
        <v>125</v>
      </c>
      <c r="I28" s="38">
        <f>+H28*D28</f>
        <v>85000</v>
      </c>
      <c r="J28" s="38">
        <v>200</v>
      </c>
      <c r="K28" s="38">
        <f>+J28*D28</f>
        <v>136000</v>
      </c>
      <c r="L28" s="38">
        <f>MIN(F28,H28,J28)</f>
        <v>125</v>
      </c>
      <c r="M28" s="38">
        <f>+L28*D28</f>
        <v>85000</v>
      </c>
    </row>
    <row r="29" spans="1:13" x14ac:dyDescent="0.35">
      <c r="A29" s="8">
        <v>2</v>
      </c>
      <c r="B29" s="26" t="s">
        <v>1387</v>
      </c>
      <c r="C29" s="4" t="str">
        <f>VLOOKUP(B29,'Working BOQ'!A:N,9,0)</f>
        <v>150mm Gypsum Partitions</v>
      </c>
      <c r="D29" s="8">
        <f>VLOOKUP(B29,'Working BOQ'!A:N,10,0)</f>
        <v>680</v>
      </c>
      <c r="E29" s="8" t="str">
        <f>VLOOKUP(B29,'Working BOQ'!A:N,11,0)</f>
        <v>sqm</v>
      </c>
      <c r="F29" s="38">
        <v>150</v>
      </c>
      <c r="G29" s="38">
        <f>+F29*D29</f>
        <v>102000</v>
      </c>
      <c r="H29" s="38">
        <v>150</v>
      </c>
      <c r="I29" s="38">
        <f>+H29*D29</f>
        <v>102000</v>
      </c>
      <c r="J29" s="38">
        <v>100</v>
      </c>
      <c r="K29" s="38">
        <f>+J29*D29</f>
        <v>68000</v>
      </c>
      <c r="L29" s="38">
        <f>MIN(F29,H29,J29)</f>
        <v>100</v>
      </c>
      <c r="M29" s="38">
        <f>+L29*D29</f>
        <v>68000</v>
      </c>
    </row>
    <row r="30" spans="1:13" x14ac:dyDescent="0.35">
      <c r="A30" s="8">
        <v>3</v>
      </c>
      <c r="B30" s="26" t="s">
        <v>1388</v>
      </c>
      <c r="C30" s="4" t="str">
        <f>VLOOKUP(B30,'Working BOQ'!A:N,9,0)</f>
        <v>200mm Gypsum Partitions</v>
      </c>
      <c r="D30" s="8">
        <f>VLOOKUP(B30,'Working BOQ'!A:N,10,0)</f>
        <v>680</v>
      </c>
      <c r="E30" s="8" t="str">
        <f>VLOOKUP(B30,'Working BOQ'!A:N,11,0)</f>
        <v>sqm</v>
      </c>
      <c r="F30" s="38">
        <v>150</v>
      </c>
      <c r="G30" s="38">
        <f>+F30*D30</f>
        <v>102000</v>
      </c>
      <c r="H30" s="38">
        <v>175</v>
      </c>
      <c r="I30" s="38">
        <f>+H30*D30</f>
        <v>119000</v>
      </c>
      <c r="J30" s="38">
        <v>50</v>
      </c>
      <c r="K30" s="38">
        <f>+J30*D30</f>
        <v>34000</v>
      </c>
      <c r="L30" s="38">
        <f>MIN(F30,H30,J30)</f>
        <v>50</v>
      </c>
      <c r="M30" s="38">
        <f>+L30*D30</f>
        <v>34000</v>
      </c>
    </row>
    <row r="31" spans="1:13" x14ac:dyDescent="0.35">
      <c r="A31" s="8"/>
      <c r="B31" s="8"/>
      <c r="C31" s="4"/>
      <c r="D31" s="8"/>
      <c r="E31" s="8"/>
      <c r="F31" s="38"/>
      <c r="G31" s="38"/>
      <c r="H31" s="38"/>
      <c r="I31" s="38"/>
      <c r="J31" s="38"/>
      <c r="K31" s="38"/>
      <c r="L31" s="38"/>
      <c r="M31" s="38"/>
    </row>
    <row r="32" spans="1:13" s="6" customFormat="1" x14ac:dyDescent="0.35">
      <c r="A32" s="5"/>
      <c r="B32" s="5"/>
      <c r="C32" s="5" t="s">
        <v>1498</v>
      </c>
      <c r="D32" s="5"/>
      <c r="E32" s="5"/>
      <c r="F32" s="16"/>
      <c r="G32" s="16">
        <f>SUM(G28:G31)</f>
        <v>306000</v>
      </c>
      <c r="H32" s="16"/>
      <c r="I32" s="16">
        <f>SUM(I28:I31)</f>
        <v>306000</v>
      </c>
      <c r="J32" s="16"/>
      <c r="K32" s="16">
        <f>SUM(K28:K31)</f>
        <v>238000</v>
      </c>
      <c r="L32" s="16"/>
      <c r="M32" s="16">
        <f>SUM(M28:M31)</f>
        <v>187000</v>
      </c>
    </row>
    <row r="35" spans="1:13" s="14" customFormat="1" x14ac:dyDescent="0.35">
      <c r="A35" s="62" t="s">
        <v>110</v>
      </c>
      <c r="B35" s="62" t="s">
        <v>1348</v>
      </c>
      <c r="C35" s="62" t="s">
        <v>1547</v>
      </c>
      <c r="D35" s="62" t="s">
        <v>1263</v>
      </c>
      <c r="E35" s="62" t="s">
        <v>1</v>
      </c>
      <c r="F35" s="63" t="s">
        <v>1548</v>
      </c>
      <c r="G35" s="63"/>
      <c r="H35" s="63" t="s">
        <v>1550</v>
      </c>
      <c r="I35" s="63"/>
      <c r="J35" s="63" t="s">
        <v>1553</v>
      </c>
      <c r="K35" s="63"/>
      <c r="L35" s="63" t="s">
        <v>1551</v>
      </c>
      <c r="M35" s="63"/>
    </row>
    <row r="36" spans="1:13" s="14" customFormat="1" x14ac:dyDescent="0.35">
      <c r="A36" s="62"/>
      <c r="B36" s="62"/>
      <c r="C36" s="62"/>
      <c r="D36" s="62"/>
      <c r="E36" s="62"/>
      <c r="F36" s="16" t="s">
        <v>75</v>
      </c>
      <c r="G36" s="16" t="s">
        <v>1122</v>
      </c>
      <c r="H36" s="16" t="s">
        <v>75</v>
      </c>
      <c r="I36" s="16" t="s">
        <v>1122</v>
      </c>
      <c r="J36" s="16" t="s">
        <v>75</v>
      </c>
      <c r="K36" s="16" t="s">
        <v>1122</v>
      </c>
      <c r="L36" s="16" t="s">
        <v>75</v>
      </c>
      <c r="M36" s="16" t="s">
        <v>1122</v>
      </c>
    </row>
    <row r="37" spans="1:13" x14ac:dyDescent="0.35">
      <c r="A37" s="8">
        <v>1</v>
      </c>
      <c r="B37" s="26" t="s">
        <v>1397</v>
      </c>
      <c r="C37" s="4" t="str">
        <f>VLOOKUP(B37,'Working BOQ'!A:N,9,0)</f>
        <v>600x600mm Porcelain Tile Flooring</v>
      </c>
      <c r="D37" s="8">
        <f>VLOOKUP(B37,'Working BOQ'!A:N,10,0)</f>
        <v>1500</v>
      </c>
      <c r="E37" s="8" t="str">
        <f>VLOOKUP(B37,'Working BOQ'!A:N,11,0)</f>
        <v>sqm</v>
      </c>
      <c r="F37" s="38">
        <v>150</v>
      </c>
      <c r="G37" s="38">
        <f>+F37*D37</f>
        <v>225000</v>
      </c>
      <c r="H37" s="38">
        <v>125</v>
      </c>
      <c r="I37" s="38">
        <f>+H37*D37</f>
        <v>187500</v>
      </c>
      <c r="J37" s="38">
        <v>200</v>
      </c>
      <c r="K37" s="38">
        <f>+J37*D37</f>
        <v>300000</v>
      </c>
      <c r="L37" s="38">
        <f>MIN(F37,H37,J37)</f>
        <v>125</v>
      </c>
      <c r="M37" s="38">
        <f>+L37*D37</f>
        <v>187500</v>
      </c>
    </row>
    <row r="38" spans="1:13" x14ac:dyDescent="0.35">
      <c r="A38" s="8"/>
      <c r="B38" s="8"/>
      <c r="C38" s="4"/>
      <c r="D38" s="8"/>
      <c r="E38" s="8"/>
      <c r="F38" s="38"/>
      <c r="G38" s="38"/>
      <c r="H38" s="38"/>
      <c r="I38" s="38"/>
      <c r="J38" s="38"/>
      <c r="K38" s="38"/>
      <c r="L38" s="38"/>
      <c r="M38" s="38"/>
    </row>
    <row r="39" spans="1:13" s="6" customFormat="1" x14ac:dyDescent="0.35">
      <c r="A39" s="5"/>
      <c r="B39" s="5"/>
      <c r="C39" s="5" t="s">
        <v>1498</v>
      </c>
      <c r="D39" s="5"/>
      <c r="E39" s="5"/>
      <c r="F39" s="16"/>
      <c r="G39" s="16">
        <f>SUM(G37:G38)</f>
        <v>225000</v>
      </c>
      <c r="H39" s="16"/>
      <c r="I39" s="16">
        <f>SUM(I37:I38)</f>
        <v>187500</v>
      </c>
      <c r="J39" s="16"/>
      <c r="K39" s="16">
        <f>SUM(K37:K38)</f>
        <v>300000</v>
      </c>
      <c r="L39" s="16"/>
      <c r="M39" s="16">
        <f>SUM(M37:M38)</f>
        <v>187500</v>
      </c>
    </row>
    <row r="42" spans="1:13" s="14" customFormat="1" x14ac:dyDescent="0.35">
      <c r="A42" s="62" t="s">
        <v>110</v>
      </c>
      <c r="B42" s="62" t="s">
        <v>1348</v>
      </c>
      <c r="C42" s="62" t="s">
        <v>1547</v>
      </c>
      <c r="D42" s="62" t="s">
        <v>1263</v>
      </c>
      <c r="E42" s="62" t="s">
        <v>1</v>
      </c>
      <c r="F42" s="63" t="s">
        <v>1549</v>
      </c>
      <c r="G42" s="63"/>
      <c r="H42" s="63" t="s">
        <v>1552</v>
      </c>
      <c r="I42" s="63"/>
      <c r="J42" s="63" t="s">
        <v>1554</v>
      </c>
      <c r="K42" s="63"/>
      <c r="L42" s="63" t="s">
        <v>1551</v>
      </c>
      <c r="M42" s="63"/>
    </row>
    <row r="43" spans="1:13" s="14" customFormat="1" x14ac:dyDescent="0.35">
      <c r="A43" s="62"/>
      <c r="B43" s="62"/>
      <c r="C43" s="62"/>
      <c r="D43" s="62"/>
      <c r="E43" s="62"/>
      <c r="F43" s="16" t="s">
        <v>75</v>
      </c>
      <c r="G43" s="16" t="s">
        <v>1122</v>
      </c>
      <c r="H43" s="16" t="s">
        <v>75</v>
      </c>
      <c r="I43" s="16" t="s">
        <v>1122</v>
      </c>
      <c r="J43" s="16" t="s">
        <v>75</v>
      </c>
      <c r="K43" s="16" t="s">
        <v>1122</v>
      </c>
      <c r="L43" s="16" t="s">
        <v>75</v>
      </c>
      <c r="M43" s="16" t="s">
        <v>1122</v>
      </c>
    </row>
    <row r="44" spans="1:13" x14ac:dyDescent="0.35">
      <c r="A44" s="8">
        <v>1</v>
      </c>
      <c r="B44" s="26" t="s">
        <v>1398</v>
      </c>
      <c r="C44" s="4" t="str">
        <f>VLOOKUP(B44,'Working BOQ'!A:N,9,0)</f>
        <v>Interior Emulsion Paint Finish</v>
      </c>
      <c r="D44" s="8">
        <f>VLOOKUP(B44,'Working BOQ'!A:N,10,0)</f>
        <v>3720</v>
      </c>
      <c r="E44" s="8" t="str">
        <f>VLOOKUP(B44,'Working BOQ'!A:N,11,0)</f>
        <v>sqm</v>
      </c>
      <c r="F44" s="38">
        <v>50</v>
      </c>
      <c r="G44" s="38">
        <f>+F44*D44</f>
        <v>186000</v>
      </c>
      <c r="H44" s="38">
        <v>75</v>
      </c>
      <c r="I44" s="38">
        <f>+H44*D44</f>
        <v>279000</v>
      </c>
      <c r="J44" s="38">
        <v>45</v>
      </c>
      <c r="K44" s="38">
        <f>+J44*D44</f>
        <v>167400</v>
      </c>
      <c r="L44" s="38">
        <f>MIN(F44,H44,J44)</f>
        <v>45</v>
      </c>
      <c r="M44" s="38">
        <f>+L44*D44</f>
        <v>167400</v>
      </c>
    </row>
    <row r="45" spans="1:13" x14ac:dyDescent="0.35">
      <c r="A45" s="8">
        <v>2</v>
      </c>
      <c r="B45" s="26" t="s">
        <v>1399</v>
      </c>
      <c r="C45" s="4" t="str">
        <f>VLOOKUP(B45,'Working BOQ'!A:N,9,0)</f>
        <v>Exerior Emulsion Paint Finish</v>
      </c>
      <c r="D45" s="8">
        <f>VLOOKUP(B45,'Working BOQ'!A:N,10,0)</f>
        <v>1560</v>
      </c>
      <c r="E45" s="8" t="str">
        <f>VLOOKUP(B45,'Working BOQ'!A:N,11,0)</f>
        <v>sqm</v>
      </c>
      <c r="F45" s="38">
        <v>50</v>
      </c>
      <c r="G45" s="38">
        <f>+F45*D45</f>
        <v>78000</v>
      </c>
      <c r="H45" s="38">
        <v>50</v>
      </c>
      <c r="I45" s="38">
        <f>+H45*D45</f>
        <v>78000</v>
      </c>
      <c r="J45" s="38">
        <v>45</v>
      </c>
      <c r="K45" s="38">
        <f>+J45*D45</f>
        <v>70200</v>
      </c>
      <c r="L45" s="38">
        <f>MIN(F45,H45,J45)</f>
        <v>45</v>
      </c>
      <c r="M45" s="38">
        <f>+L45*D45</f>
        <v>70200</v>
      </c>
    </row>
    <row r="46" spans="1:13" x14ac:dyDescent="0.35">
      <c r="A46" s="8">
        <v>3</v>
      </c>
      <c r="B46" s="26" t="s">
        <v>1400</v>
      </c>
      <c r="C46" s="4" t="str">
        <f>VLOOKUP(B46,'Working BOQ'!A:N,9,0)</f>
        <v>Decorative Texture Plaster Finish</v>
      </c>
      <c r="D46" s="8">
        <f>VLOOKUP(B46,'Working BOQ'!A:N,10,0)</f>
        <v>1000</v>
      </c>
      <c r="E46" s="8" t="str">
        <f>VLOOKUP(B46,'Working BOQ'!A:N,11,0)</f>
        <v>sqm</v>
      </c>
      <c r="F46" s="38">
        <v>50</v>
      </c>
      <c r="G46" s="38">
        <f>+F46*D46</f>
        <v>50000</v>
      </c>
      <c r="H46" s="38">
        <v>25</v>
      </c>
      <c r="I46" s="38">
        <f>+H46*D46</f>
        <v>25000</v>
      </c>
      <c r="J46" s="38">
        <v>45</v>
      </c>
      <c r="K46" s="38">
        <f>+J46*D46</f>
        <v>45000</v>
      </c>
      <c r="L46" s="38">
        <f>MIN(F46,H46,J46)</f>
        <v>25</v>
      </c>
      <c r="M46" s="38">
        <f>+L46*D46</f>
        <v>25000</v>
      </c>
    </row>
    <row r="47" spans="1:13" x14ac:dyDescent="0.35">
      <c r="A47" s="8"/>
      <c r="B47" s="8"/>
      <c r="C47" s="4"/>
      <c r="D47" s="8"/>
      <c r="E47" s="8"/>
      <c r="F47" s="38"/>
      <c r="G47" s="38"/>
      <c r="H47" s="38"/>
      <c r="I47" s="38"/>
      <c r="J47" s="38"/>
      <c r="K47" s="38"/>
      <c r="L47" s="38"/>
      <c r="M47" s="38"/>
    </row>
    <row r="48" spans="1:13" s="6" customFormat="1" x14ac:dyDescent="0.35">
      <c r="A48" s="5"/>
      <c r="B48" s="5"/>
      <c r="C48" s="5" t="s">
        <v>1498</v>
      </c>
      <c r="D48" s="5"/>
      <c r="E48" s="5"/>
      <c r="F48" s="16"/>
      <c r="G48" s="16">
        <f>SUM(G44:G47)</f>
        <v>314000</v>
      </c>
      <c r="H48" s="16"/>
      <c r="I48" s="16">
        <f>SUM(I44:I47)</f>
        <v>382000</v>
      </c>
      <c r="J48" s="16"/>
      <c r="K48" s="16">
        <f>SUM(K44:K47)</f>
        <v>282600</v>
      </c>
      <c r="L48" s="16"/>
      <c r="M48" s="16">
        <f>SUM(M44:M47)</f>
        <v>262600</v>
      </c>
    </row>
    <row r="51" spans="1:13" s="14" customFormat="1" x14ac:dyDescent="0.35">
      <c r="A51" s="62" t="s">
        <v>110</v>
      </c>
      <c r="B51" s="62" t="s">
        <v>1348</v>
      </c>
      <c r="C51" s="62" t="s">
        <v>1547</v>
      </c>
      <c r="D51" s="62" t="s">
        <v>1263</v>
      </c>
      <c r="E51" s="62" t="s">
        <v>1</v>
      </c>
      <c r="F51" s="63" t="s">
        <v>1548</v>
      </c>
      <c r="G51" s="63"/>
      <c r="H51" s="63" t="s">
        <v>1550</v>
      </c>
      <c r="I51" s="63"/>
      <c r="J51" s="63" t="s">
        <v>1553</v>
      </c>
      <c r="K51" s="63"/>
      <c r="L51" s="63" t="s">
        <v>1551</v>
      </c>
      <c r="M51" s="63"/>
    </row>
    <row r="52" spans="1:13" s="14" customFormat="1" x14ac:dyDescent="0.35">
      <c r="A52" s="62"/>
      <c r="B52" s="62"/>
      <c r="C52" s="62"/>
      <c r="D52" s="62"/>
      <c r="E52" s="62"/>
      <c r="F52" s="16" t="s">
        <v>75</v>
      </c>
      <c r="G52" s="16" t="s">
        <v>1122</v>
      </c>
      <c r="H52" s="16" t="s">
        <v>75</v>
      </c>
      <c r="I52" s="16" t="s">
        <v>1122</v>
      </c>
      <c r="J52" s="16" t="s">
        <v>75</v>
      </c>
      <c r="K52" s="16" t="s">
        <v>1122</v>
      </c>
      <c r="L52" s="16" t="s">
        <v>75</v>
      </c>
      <c r="M52" s="16" t="s">
        <v>1122</v>
      </c>
    </row>
    <row r="53" spans="1:13" x14ac:dyDescent="0.35">
      <c r="A53" s="8">
        <v>1</v>
      </c>
      <c r="B53" s="26" t="s">
        <v>1391</v>
      </c>
      <c r="C53" s="4" t="str">
        <f>VLOOKUP(B53,'Working BOQ'!A:N,9,0)</f>
        <v>Gypsum False Ceiling</v>
      </c>
      <c r="D53" s="8">
        <f>VLOOKUP(B53,'Working BOQ'!A:N,10,0)</f>
        <v>300</v>
      </c>
      <c r="E53" s="8" t="str">
        <f>VLOOKUP(B53,'Working BOQ'!A:N,11,0)</f>
        <v>sqm</v>
      </c>
      <c r="F53" s="38">
        <v>150</v>
      </c>
      <c r="G53" s="38">
        <f>+F53*D53</f>
        <v>45000</v>
      </c>
      <c r="H53" s="38">
        <v>125</v>
      </c>
      <c r="I53" s="38">
        <f>+H53*D53</f>
        <v>37500</v>
      </c>
      <c r="J53" s="38">
        <v>200</v>
      </c>
      <c r="K53" s="38">
        <f>+J53*D53</f>
        <v>60000</v>
      </c>
      <c r="L53" s="38">
        <f>MIN(F53,H53,J53)</f>
        <v>125</v>
      </c>
      <c r="M53" s="38">
        <f>+L53*D53</f>
        <v>37500</v>
      </c>
    </row>
    <row r="54" spans="1:13" x14ac:dyDescent="0.35">
      <c r="A54" s="8"/>
      <c r="B54" s="8"/>
      <c r="C54" s="4"/>
      <c r="D54" s="8"/>
      <c r="E54" s="8"/>
      <c r="F54" s="38"/>
      <c r="G54" s="38"/>
      <c r="H54" s="38"/>
      <c r="I54" s="38"/>
      <c r="J54" s="38"/>
      <c r="K54" s="38"/>
      <c r="L54" s="38"/>
      <c r="M54" s="38"/>
    </row>
    <row r="55" spans="1:13" s="6" customFormat="1" x14ac:dyDescent="0.35">
      <c r="A55" s="5"/>
      <c r="B55" s="5"/>
      <c r="C55" s="5" t="s">
        <v>1498</v>
      </c>
      <c r="D55" s="5"/>
      <c r="E55" s="5"/>
      <c r="F55" s="16"/>
      <c r="G55" s="16">
        <f>SUM(G53:G54)</f>
        <v>45000</v>
      </c>
      <c r="H55" s="16"/>
      <c r="I55" s="16">
        <f>SUM(I53:I54)</f>
        <v>37500</v>
      </c>
      <c r="J55" s="16"/>
      <c r="K55" s="16">
        <f>SUM(K53:K54)</f>
        <v>60000</v>
      </c>
      <c r="L55" s="16"/>
      <c r="M55" s="16">
        <f>SUM(M53:M54)</f>
        <v>37500</v>
      </c>
    </row>
  </sheetData>
  <mergeCells count="63">
    <mergeCell ref="L42:M42"/>
    <mergeCell ref="A51:A52"/>
    <mergeCell ref="B51:B52"/>
    <mergeCell ref="C51:C52"/>
    <mergeCell ref="D51:D52"/>
    <mergeCell ref="E51:E52"/>
    <mergeCell ref="F51:G51"/>
    <mergeCell ref="H51:I51"/>
    <mergeCell ref="J51:K51"/>
    <mergeCell ref="L51:M51"/>
    <mergeCell ref="J35:K35"/>
    <mergeCell ref="L35:M35"/>
    <mergeCell ref="A42:A43"/>
    <mergeCell ref="B42:B43"/>
    <mergeCell ref="C42:C43"/>
    <mergeCell ref="D42:D43"/>
    <mergeCell ref="E42:E43"/>
    <mergeCell ref="F42:G42"/>
    <mergeCell ref="H42:I42"/>
    <mergeCell ref="J42:K42"/>
    <mergeCell ref="H26:I26"/>
    <mergeCell ref="J26:K26"/>
    <mergeCell ref="L26:M26"/>
    <mergeCell ref="A35:A36"/>
    <mergeCell ref="B35:B36"/>
    <mergeCell ref="C35:C36"/>
    <mergeCell ref="D35:D36"/>
    <mergeCell ref="E35:E36"/>
    <mergeCell ref="F35:G35"/>
    <mergeCell ref="H35:I35"/>
    <mergeCell ref="F17:G17"/>
    <mergeCell ref="H17:I17"/>
    <mergeCell ref="J17:K17"/>
    <mergeCell ref="L17:M17"/>
    <mergeCell ref="A26:A27"/>
    <mergeCell ref="B26:B27"/>
    <mergeCell ref="C26:C27"/>
    <mergeCell ref="D26:D27"/>
    <mergeCell ref="E26:E27"/>
    <mergeCell ref="F26:G26"/>
    <mergeCell ref="B8:B9"/>
    <mergeCell ref="A17:A18"/>
    <mergeCell ref="B17:B18"/>
    <mergeCell ref="C17:C18"/>
    <mergeCell ref="D17:D18"/>
    <mergeCell ref="E17:E18"/>
    <mergeCell ref="J1:K1"/>
    <mergeCell ref="L1:M1"/>
    <mergeCell ref="A8:A9"/>
    <mergeCell ref="C8:C9"/>
    <mergeCell ref="D8:D9"/>
    <mergeCell ref="E8:E9"/>
    <mergeCell ref="F8:G8"/>
    <mergeCell ref="H8:I8"/>
    <mergeCell ref="J8:K8"/>
    <mergeCell ref="L8:M8"/>
    <mergeCell ref="F1:G1"/>
    <mergeCell ref="A1:A2"/>
    <mergeCell ref="C1:C2"/>
    <mergeCell ref="D1:D2"/>
    <mergeCell ref="E1:E2"/>
    <mergeCell ref="H1:I1"/>
    <mergeCell ref="B1:B2"/>
  </mergeCells>
  <pageMargins left="0.7" right="0.7" top="0.75" bottom="0.75" header="0.3" footer="0.3"/>
  <pageSetup scale="4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007A-18FC-40F4-9864-361DE50E3DF6}">
  <dimension ref="A1:M26"/>
  <sheetViews>
    <sheetView view="pageBreakPreview" zoomScaleNormal="100" zoomScaleSheetLayoutView="100" workbookViewId="0">
      <selection activeCell="D12" sqref="D12"/>
    </sheetView>
  </sheetViews>
  <sheetFormatPr defaultRowHeight="14.5" x14ac:dyDescent="0.35"/>
  <cols>
    <col min="1" max="1" width="6.36328125" style="9" customWidth="1"/>
    <col min="2" max="2" width="19.453125" style="9" bestFit="1" customWidth="1"/>
    <col min="3" max="3" width="33.6328125" bestFit="1" customWidth="1"/>
    <col min="4" max="4" width="11.81640625" style="9" bestFit="1" customWidth="1"/>
    <col min="5" max="5" width="5.81640625" style="9" bestFit="1" customWidth="1"/>
    <col min="6" max="6" width="9.08984375" style="39" bestFit="1" customWidth="1"/>
    <col min="7" max="7" width="13.81640625" style="39" bestFit="1" customWidth="1"/>
    <col min="8" max="8" width="7.6328125" style="39" bestFit="1" customWidth="1"/>
    <col min="9" max="9" width="14.81640625" style="39" bestFit="1" customWidth="1"/>
    <col min="10" max="10" width="9.08984375" style="39" bestFit="1" customWidth="1"/>
    <col min="11" max="11" width="14.81640625" style="39" bestFit="1" customWidth="1"/>
    <col min="12" max="12" width="7.6328125" style="39" bestFit="1" customWidth="1"/>
    <col min="13" max="13" width="13.81640625" style="39" bestFit="1" customWidth="1"/>
  </cols>
  <sheetData>
    <row r="1" spans="1:13" s="14" customFormat="1" x14ac:dyDescent="0.35">
      <c r="A1" s="62" t="s">
        <v>110</v>
      </c>
      <c r="B1" s="62" t="s">
        <v>1576</v>
      </c>
      <c r="C1" s="62" t="s">
        <v>111</v>
      </c>
      <c r="D1" s="62" t="s">
        <v>1422</v>
      </c>
      <c r="E1" s="62" t="s">
        <v>1</v>
      </c>
      <c r="F1" s="63" t="s">
        <v>1573</v>
      </c>
      <c r="G1" s="63"/>
      <c r="H1" s="63" t="s">
        <v>1574</v>
      </c>
      <c r="I1" s="63"/>
      <c r="J1" s="63" t="s">
        <v>1575</v>
      </c>
      <c r="K1" s="63"/>
      <c r="L1" s="63" t="s">
        <v>1551</v>
      </c>
      <c r="M1" s="63"/>
    </row>
    <row r="2" spans="1:13" s="14" customFormat="1" x14ac:dyDescent="0.35">
      <c r="A2" s="62"/>
      <c r="B2" s="62"/>
      <c r="C2" s="62"/>
      <c r="D2" s="62"/>
      <c r="E2" s="62"/>
      <c r="F2" s="16" t="s">
        <v>75</v>
      </c>
      <c r="G2" s="16" t="s">
        <v>1122</v>
      </c>
      <c r="H2" s="16" t="s">
        <v>75</v>
      </c>
      <c r="I2" s="16" t="s">
        <v>1122</v>
      </c>
      <c r="J2" s="16" t="s">
        <v>75</v>
      </c>
      <c r="K2" s="16" t="s">
        <v>1122</v>
      </c>
      <c r="L2" s="16" t="s">
        <v>75</v>
      </c>
      <c r="M2" s="16" t="s">
        <v>1122</v>
      </c>
    </row>
    <row r="3" spans="1:13" x14ac:dyDescent="0.35">
      <c r="A3" s="8">
        <v>1</v>
      </c>
      <c r="B3" s="8" t="s">
        <v>1539</v>
      </c>
      <c r="C3" s="4" t="str">
        <f>VLOOKUP(B3,'Project Resource Master'!C:O,5,0)</f>
        <v>Cement OPC 43 Grade</v>
      </c>
      <c r="D3" s="8">
        <f>VLOOKUP(B3,'Project Resource Master'!C:O,13,0)</f>
        <v>98309.75</v>
      </c>
      <c r="E3" s="8" t="str">
        <f>VLOOKUP(B3,'Project Resource Master'!C:H,6,0)</f>
        <v>bag</v>
      </c>
      <c r="F3" s="38">
        <v>50</v>
      </c>
      <c r="G3" s="38">
        <f>+F3*D3</f>
        <v>4915487.5</v>
      </c>
      <c r="H3" s="38">
        <v>400</v>
      </c>
      <c r="I3" s="38">
        <f>+H3*D3</f>
        <v>39323900</v>
      </c>
      <c r="J3" s="38">
        <v>80</v>
      </c>
      <c r="K3" s="38">
        <f>+J3*D3</f>
        <v>7864780</v>
      </c>
      <c r="L3" s="38">
        <f>MIN(F3,H3,J3)</f>
        <v>50</v>
      </c>
      <c r="M3" s="38">
        <f>+L3*D3</f>
        <v>4915487.5</v>
      </c>
    </row>
    <row r="4" spans="1:13" x14ac:dyDescent="0.35">
      <c r="A4" s="8">
        <v>2</v>
      </c>
      <c r="B4" s="8" t="s">
        <v>1545</v>
      </c>
      <c r="C4" s="4" t="str">
        <f>VLOOKUP(B4,'Project Resource Master'!C:O,5,0)</f>
        <v>Cement OPC 53 Grade</v>
      </c>
      <c r="D4" s="8">
        <f>VLOOKUP(B4,'Project Resource Master'!C:O,13,0)</f>
        <v>5250</v>
      </c>
      <c r="E4" s="8" t="str">
        <f>VLOOKUP(B4,'Project Resource Master'!C:H,6,0)</f>
        <v>bag</v>
      </c>
      <c r="F4" s="38">
        <v>50</v>
      </c>
      <c r="G4" s="38">
        <f>+F4*D4</f>
        <v>262500</v>
      </c>
      <c r="H4" s="38">
        <v>400</v>
      </c>
      <c r="I4" s="38">
        <f>+H4*D4</f>
        <v>2100000</v>
      </c>
      <c r="J4" s="38">
        <v>5000</v>
      </c>
      <c r="K4" s="38">
        <f>+J4*D4</f>
        <v>26250000</v>
      </c>
      <c r="L4" s="38">
        <f>MIN(F4,H4,J4)</f>
        <v>50</v>
      </c>
      <c r="M4" s="38">
        <f>+L4*D4</f>
        <v>262500</v>
      </c>
    </row>
    <row r="5" spans="1:13" x14ac:dyDescent="0.35">
      <c r="A5" s="8">
        <v>3</v>
      </c>
      <c r="B5" s="8" t="s">
        <v>1540</v>
      </c>
      <c r="C5" s="4" t="str">
        <f>VLOOKUP(B5,'Project Resource Master'!C:O,5,0)</f>
        <v>M-Sand Grade A</v>
      </c>
      <c r="D5" s="8">
        <f>VLOOKUP(B5,'Project Resource Master'!C:O,13,0)</f>
        <v>1567.5</v>
      </c>
      <c r="E5" s="8" t="str">
        <f>VLOOKUP(B5,'Project Resource Master'!C:H,6,0)</f>
        <v>unit</v>
      </c>
      <c r="F5" s="38">
        <v>50</v>
      </c>
      <c r="G5" s="38">
        <f>+F5*D5</f>
        <v>78375</v>
      </c>
      <c r="H5" s="38">
        <v>400</v>
      </c>
      <c r="I5" s="38">
        <f>+H5*D5</f>
        <v>627000</v>
      </c>
      <c r="J5" s="38">
        <v>80</v>
      </c>
      <c r="K5" s="38">
        <f>+J5*D5</f>
        <v>125400</v>
      </c>
      <c r="L5" s="38">
        <f>MIN(F5,H5,J5)</f>
        <v>50</v>
      </c>
      <c r="M5" s="38">
        <f>+L5*D5</f>
        <v>78375</v>
      </c>
    </row>
    <row r="6" spans="1:13" x14ac:dyDescent="0.35">
      <c r="A6" s="8">
        <v>4</v>
      </c>
      <c r="B6" s="8" t="s">
        <v>1546</v>
      </c>
      <c r="C6" s="4" t="str">
        <f>VLOOKUP(B6,'Project Resource Master'!C:O,5,0)</f>
        <v>M-Sand Grade B</v>
      </c>
      <c r="D6" s="8">
        <f>VLOOKUP(B6,'Project Resource Master'!C:O,13,0)</f>
        <v>630</v>
      </c>
      <c r="E6" s="8" t="str">
        <f>VLOOKUP(B6,'Project Resource Master'!C:H,6,0)</f>
        <v>unit</v>
      </c>
      <c r="F6" s="38">
        <v>1000</v>
      </c>
      <c r="G6" s="38">
        <f>+F6*D6</f>
        <v>630000</v>
      </c>
      <c r="H6" s="38">
        <v>400</v>
      </c>
      <c r="I6" s="38">
        <f>+H6*D6</f>
        <v>252000</v>
      </c>
      <c r="J6" s="38">
        <v>5000</v>
      </c>
      <c r="K6" s="38">
        <f>+J6*D6</f>
        <v>3150000</v>
      </c>
      <c r="L6" s="38">
        <f>MIN(F6,H6,J6)</f>
        <v>400</v>
      </c>
      <c r="M6" s="38">
        <f>+L6*D6</f>
        <v>252000</v>
      </c>
    </row>
    <row r="7" spans="1:13" x14ac:dyDescent="0.35">
      <c r="A7" s="8">
        <v>5</v>
      </c>
      <c r="B7" s="8" t="s">
        <v>1556</v>
      </c>
      <c r="C7" s="4" t="str">
        <f>VLOOKUP(B7,'Project Resource Master'!C:O,5,0)</f>
        <v>P-Sand Grade A</v>
      </c>
      <c r="D7" s="8">
        <f>VLOOKUP(B7,'Project Resource Master'!C:O,13,0)</f>
        <v>19914.3</v>
      </c>
      <c r="E7" s="8" t="str">
        <f>VLOOKUP(B7,'Project Resource Master'!C:H,6,0)</f>
        <v>unit</v>
      </c>
      <c r="F7" s="38">
        <v>50</v>
      </c>
      <c r="G7" s="38">
        <f>+F7*D7</f>
        <v>995715</v>
      </c>
      <c r="H7" s="38">
        <v>400</v>
      </c>
      <c r="I7" s="38">
        <f>+H7*D7</f>
        <v>7965720</v>
      </c>
      <c r="J7" s="38">
        <v>80</v>
      </c>
      <c r="K7" s="38">
        <f>+J7*D7</f>
        <v>1593144</v>
      </c>
      <c r="L7" s="38">
        <f>MIN(F7,H7,J7)</f>
        <v>50</v>
      </c>
      <c r="M7" s="38">
        <f>+L7*D7</f>
        <v>995715</v>
      </c>
    </row>
    <row r="8" spans="1:13" x14ac:dyDescent="0.35">
      <c r="A8" s="8">
        <v>6</v>
      </c>
      <c r="B8" s="8" t="s">
        <v>1541</v>
      </c>
      <c r="C8" s="4" t="str">
        <f>VLOOKUP(B8,'Project Resource Master'!C:O,5,0)</f>
        <v>Water - Grade A</v>
      </c>
      <c r="D8" s="8">
        <f>VLOOKUP(B8,'Project Resource Master'!C:O,13,0)</f>
        <v>214105.5</v>
      </c>
      <c r="E8" s="8" t="str">
        <f>VLOOKUP(B8,'Project Resource Master'!C:H,6,0)</f>
        <v>ltr</v>
      </c>
      <c r="F8" s="38">
        <v>50</v>
      </c>
      <c r="G8" s="38">
        <f>+F8*D8</f>
        <v>10705275</v>
      </c>
      <c r="H8" s="38">
        <v>400</v>
      </c>
      <c r="I8" s="38">
        <f>+H8*D8</f>
        <v>85642200</v>
      </c>
      <c r="J8" s="38">
        <v>80</v>
      </c>
      <c r="K8" s="38">
        <f>+J8*D8</f>
        <v>17128440</v>
      </c>
      <c r="L8" s="38">
        <f>MIN(F8,H8,J8)</f>
        <v>50</v>
      </c>
      <c r="M8" s="38">
        <f>+L8*D8</f>
        <v>10705275</v>
      </c>
    </row>
    <row r="9" spans="1:13" x14ac:dyDescent="0.35">
      <c r="A9" s="8">
        <v>7</v>
      </c>
      <c r="B9" s="8" t="s">
        <v>1543</v>
      </c>
      <c r="C9" s="4" t="str">
        <f>VLOOKUP(B9,'Project Resource Master'!C:O,5,0)</f>
        <v>Water - Grade B</v>
      </c>
      <c r="D9" s="8">
        <f>VLOOKUP(B9,'Project Resource Master'!C:O,13,0)</f>
        <v>6600</v>
      </c>
      <c r="E9" s="8" t="str">
        <f>VLOOKUP(B9,'Project Resource Master'!C:H,6,0)</f>
        <v>ltr</v>
      </c>
      <c r="F9" s="38">
        <v>5000</v>
      </c>
      <c r="G9" s="38">
        <f>+F9*D9</f>
        <v>33000000</v>
      </c>
      <c r="H9" s="38">
        <v>400</v>
      </c>
      <c r="I9" s="38">
        <f>+H9*D9</f>
        <v>2640000</v>
      </c>
      <c r="J9" s="38">
        <v>80</v>
      </c>
      <c r="K9" s="38">
        <f>+J9*D9</f>
        <v>528000</v>
      </c>
      <c r="L9" s="38">
        <f>MIN(F9,H9,J9)</f>
        <v>80</v>
      </c>
      <c r="M9" s="38">
        <f>+L9*D9</f>
        <v>528000</v>
      </c>
    </row>
    <row r="10" spans="1:13" x14ac:dyDescent="0.35">
      <c r="A10" s="8">
        <v>8</v>
      </c>
      <c r="B10" s="8" t="s">
        <v>1542</v>
      </c>
      <c r="C10" s="4" t="str">
        <f>VLOOKUP(B10,'Project Resource Master'!C:O,5,0)</f>
        <v>Hollow Block Grade A</v>
      </c>
      <c r="D10" s="8">
        <f>VLOOKUP(B10,'Project Resource Master'!C:O,13,0)</f>
        <v>144900</v>
      </c>
      <c r="E10" s="8" t="str">
        <f>VLOOKUP(B10,'Project Resource Master'!C:H,6,0)</f>
        <v>nos</v>
      </c>
      <c r="F10" s="38">
        <v>50</v>
      </c>
      <c r="G10" s="38">
        <f>+F10*D10</f>
        <v>7245000</v>
      </c>
      <c r="H10" s="38">
        <v>400</v>
      </c>
      <c r="I10" s="38">
        <f>+H10*D10</f>
        <v>57960000</v>
      </c>
      <c r="J10" s="38">
        <v>80</v>
      </c>
      <c r="K10" s="38">
        <f>+J10*D10</f>
        <v>11592000</v>
      </c>
      <c r="L10" s="38">
        <f>MIN(F10,H10,J10)</f>
        <v>50</v>
      </c>
      <c r="M10" s="38">
        <f>+L10*D10</f>
        <v>7245000</v>
      </c>
    </row>
    <row r="11" spans="1:13" x14ac:dyDescent="0.35">
      <c r="A11" s="8">
        <v>9</v>
      </c>
      <c r="B11" s="8" t="s">
        <v>1544</v>
      </c>
      <c r="C11" s="4" t="str">
        <f>VLOOKUP(B11,'Project Resource Master'!C:O,5,0)</f>
        <v>Solid Block Grade A</v>
      </c>
      <c r="D11" s="8">
        <f>VLOOKUP(B11,'Project Resource Master'!C:O,13,0)</f>
        <v>303600</v>
      </c>
      <c r="E11" s="8" t="str">
        <f>VLOOKUP(B11,'Project Resource Master'!C:H,6,0)</f>
        <v>nos</v>
      </c>
      <c r="F11" s="38">
        <v>50</v>
      </c>
      <c r="G11" s="38">
        <f>+F11*D11</f>
        <v>15180000</v>
      </c>
      <c r="H11" s="38">
        <v>400</v>
      </c>
      <c r="I11" s="38">
        <f>+H11*D11</f>
        <v>121440000</v>
      </c>
      <c r="J11" s="38">
        <v>80</v>
      </c>
      <c r="K11" s="38">
        <f>+J11*D11</f>
        <v>24288000</v>
      </c>
      <c r="L11" s="38">
        <f>MIN(F11,H11,J11)</f>
        <v>50</v>
      </c>
      <c r="M11" s="38">
        <f>+L11*D11</f>
        <v>15180000</v>
      </c>
    </row>
    <row r="12" spans="1:13" x14ac:dyDescent="0.35">
      <c r="A12" s="8">
        <v>10</v>
      </c>
      <c r="B12" s="8" t="s">
        <v>1535</v>
      </c>
      <c r="C12" s="4" t="str">
        <f>VLOOKUP(B12,'Project Resource Master'!C:O,5,0)</f>
        <v>18mm MDF - Normal</v>
      </c>
      <c r="D12" s="8">
        <f>VLOOKUP(B12,'Project Resource Master'!C:O,13,0)</f>
        <v>1259.635416666667</v>
      </c>
      <c r="E12" s="8" t="str">
        <f>VLOOKUP(B12,'Project Resource Master'!C:H,6,0)</f>
        <v>board</v>
      </c>
      <c r="F12" s="38">
        <v>50</v>
      </c>
      <c r="G12" s="38">
        <f>+F12*D12</f>
        <v>62981.77083333335</v>
      </c>
      <c r="H12" s="38">
        <v>400</v>
      </c>
      <c r="I12" s="38">
        <f>+H12*D12</f>
        <v>503854.1666666668</v>
      </c>
      <c r="J12" s="38">
        <v>2500</v>
      </c>
      <c r="K12" s="38">
        <f>+J12*D12</f>
        <v>3149088.5416666674</v>
      </c>
      <c r="L12" s="38">
        <f>MIN(F12,H12,J12)</f>
        <v>50</v>
      </c>
      <c r="M12" s="38">
        <f>+L12*D12</f>
        <v>62981.77083333335</v>
      </c>
    </row>
    <row r="13" spans="1:13" x14ac:dyDescent="0.35">
      <c r="A13" s="8">
        <v>11</v>
      </c>
      <c r="B13" s="8" t="s">
        <v>1538</v>
      </c>
      <c r="C13" s="4" t="str">
        <f>VLOOKUP(B13,'Project Resource Master'!C:O,5,0)</f>
        <v>9mm MDF - MR Grade</v>
      </c>
      <c r="D13" s="8">
        <f>VLOOKUP(B13,'Project Resource Master'!C:O,13,0)</f>
        <v>364.58333333333337</v>
      </c>
      <c r="E13" s="8" t="str">
        <f>VLOOKUP(B13,'Project Resource Master'!C:H,6,0)</f>
        <v>board</v>
      </c>
      <c r="F13" s="38">
        <v>50</v>
      </c>
      <c r="G13" s="38">
        <f>+F13*D13</f>
        <v>18229.166666666668</v>
      </c>
      <c r="H13" s="38">
        <v>400</v>
      </c>
      <c r="I13" s="38">
        <f>+H13*D13</f>
        <v>145833.33333333334</v>
      </c>
      <c r="J13" s="38">
        <v>80</v>
      </c>
      <c r="K13" s="38">
        <f>+J13*D13</f>
        <v>29166.666666666672</v>
      </c>
      <c r="L13" s="38">
        <f>MIN(F13,H13,J13)</f>
        <v>50</v>
      </c>
      <c r="M13" s="38">
        <f>+L13*D13</f>
        <v>18229.166666666668</v>
      </c>
    </row>
    <row r="14" spans="1:13" x14ac:dyDescent="0.35">
      <c r="A14" s="8">
        <v>12</v>
      </c>
      <c r="B14" s="8" t="s">
        <v>1537</v>
      </c>
      <c r="C14" s="4" t="str">
        <f>VLOOKUP(B14,'Project Resource Master'!C:O,5,0)</f>
        <v>18mm MDF - MR Grade</v>
      </c>
      <c r="D14" s="8">
        <f>VLOOKUP(B14,'Project Resource Master'!C:O,13,0)</f>
        <v>381.94444444444451</v>
      </c>
      <c r="E14" s="8" t="str">
        <f>VLOOKUP(B14,'Project Resource Master'!C:H,6,0)</f>
        <v>board</v>
      </c>
      <c r="F14" s="38">
        <v>50</v>
      </c>
      <c r="G14" s="38">
        <f>+F14*D14</f>
        <v>19097.222222222226</v>
      </c>
      <c r="H14" s="38">
        <v>400</v>
      </c>
      <c r="I14" s="38">
        <f>+H14*D14</f>
        <v>152777.77777777781</v>
      </c>
      <c r="J14" s="38">
        <v>80</v>
      </c>
      <c r="K14" s="38">
        <f>+J14*D14</f>
        <v>30555.555555555562</v>
      </c>
      <c r="L14" s="38">
        <f>MIN(F14,H14,J14)</f>
        <v>50</v>
      </c>
      <c r="M14" s="38">
        <f>+L14*D14</f>
        <v>19097.222222222226</v>
      </c>
    </row>
    <row r="15" spans="1:13" x14ac:dyDescent="0.35">
      <c r="A15" s="8">
        <v>13</v>
      </c>
      <c r="B15" s="8" t="s">
        <v>1536</v>
      </c>
      <c r="C15" s="4" t="str">
        <f>VLOOKUP(B15,'Project Resource Master'!C:O,5,0)</f>
        <v>Meranti wood - 2" x 8" - AD</v>
      </c>
      <c r="D15" s="8">
        <f>VLOOKUP(B15,'Project Resource Master'!C:O,13,0)</f>
        <v>1049.8888888888887</v>
      </c>
      <c r="E15" s="8" t="str">
        <f>VLOOKUP(B15,'Project Resource Master'!C:H,6,0)</f>
        <v>cft</v>
      </c>
      <c r="F15" s="38">
        <v>2500</v>
      </c>
      <c r="G15" s="38">
        <f>+F15*D15</f>
        <v>2624722.2222222215</v>
      </c>
      <c r="H15" s="38">
        <v>400</v>
      </c>
      <c r="I15" s="38">
        <f>+H15*D15</f>
        <v>419955.5555555555</v>
      </c>
      <c r="J15" s="38">
        <v>80</v>
      </c>
      <c r="K15" s="38">
        <f>+J15*D15</f>
        <v>83991.111111111095</v>
      </c>
      <c r="L15" s="38">
        <f>MIN(F15,H15,J15)</f>
        <v>80</v>
      </c>
      <c r="M15" s="38">
        <f>+L15*D15</f>
        <v>83991.111111111095</v>
      </c>
    </row>
    <row r="16" spans="1:13" x14ac:dyDescent="0.35">
      <c r="A16" s="8">
        <v>14</v>
      </c>
      <c r="B16" s="8" t="s">
        <v>1526</v>
      </c>
      <c r="C16" s="4" t="str">
        <f>VLOOKUP(B16,'Project Resource Master'!C:O,5,0)</f>
        <v>Ash wood - 2" x 8" - AD</v>
      </c>
      <c r="D16" s="8">
        <f>VLOOKUP(B16,'Project Resource Master'!C:O,13,0)</f>
        <v>152.26215277777777</v>
      </c>
      <c r="E16" s="8" t="str">
        <f>VLOOKUP(B16,'Project Resource Master'!C:H,6,0)</f>
        <v>cft</v>
      </c>
      <c r="F16" s="38">
        <v>50</v>
      </c>
      <c r="G16" s="38">
        <f>+F16*D16</f>
        <v>7613.1076388888887</v>
      </c>
      <c r="H16" s="38">
        <v>400</v>
      </c>
      <c r="I16" s="38">
        <f>+H16*D16</f>
        <v>60904.861111111109</v>
      </c>
      <c r="J16" s="38">
        <v>1000</v>
      </c>
      <c r="K16" s="38">
        <f>+J16*D16</f>
        <v>152262.15277777778</v>
      </c>
      <c r="L16" s="38">
        <f>MIN(F16,H16,J16)</f>
        <v>50</v>
      </c>
      <c r="M16" s="38">
        <f>+L16*D16</f>
        <v>7613.1076388888887</v>
      </c>
    </row>
    <row r="17" spans="1:13" x14ac:dyDescent="0.35">
      <c r="A17" s="8">
        <v>15</v>
      </c>
      <c r="B17" s="8" t="s">
        <v>1534</v>
      </c>
      <c r="C17" s="4" t="str">
        <f>VLOOKUP(B17,'Project Resource Master'!C:O,5,0)</f>
        <v>Beech wood - 2" x 8" - KD</v>
      </c>
      <c r="D17" s="8">
        <f>VLOOKUP(B17,'Project Resource Master'!C:O,13,0)</f>
        <v>217.78472222222223</v>
      </c>
      <c r="E17" s="8" t="str">
        <f>VLOOKUP(B17,'Project Resource Master'!C:H,6,0)</f>
        <v>cft</v>
      </c>
      <c r="F17" s="38">
        <v>50</v>
      </c>
      <c r="G17" s="38">
        <f>+F17*D17</f>
        <v>10889.236111111111</v>
      </c>
      <c r="H17" s="38">
        <v>400</v>
      </c>
      <c r="I17" s="38">
        <f>+H17*D17</f>
        <v>87113.888888888891</v>
      </c>
      <c r="J17" s="38">
        <v>80</v>
      </c>
      <c r="K17" s="38">
        <f>+J17*D17</f>
        <v>17422.777777777777</v>
      </c>
      <c r="L17" s="38">
        <f>MIN(F17,H17,J17)</f>
        <v>50</v>
      </c>
      <c r="M17" s="38">
        <f>+L17*D17</f>
        <v>10889.236111111111</v>
      </c>
    </row>
    <row r="18" spans="1:13" x14ac:dyDescent="0.35">
      <c r="A18" s="8">
        <v>16</v>
      </c>
      <c r="B18" s="8" t="s">
        <v>1527</v>
      </c>
      <c r="C18" s="4" t="str">
        <f>VLOOKUP(B18,'Project Resource Master'!C:O,5,0)</f>
        <v>Ash veneer - Q-Cut</v>
      </c>
      <c r="D18" s="8">
        <f>VLOOKUP(B18,'Project Resource Master'!C:O,13,0)</f>
        <v>1653.75</v>
      </c>
      <c r="E18" s="8" t="str">
        <f>VLOOKUP(B18,'Project Resource Master'!C:H,6,0)</f>
        <v>sqm</v>
      </c>
      <c r="F18" s="38">
        <v>5000</v>
      </c>
      <c r="G18" s="38">
        <f>+F18*D18</f>
        <v>8268750</v>
      </c>
      <c r="H18" s="38">
        <v>400</v>
      </c>
      <c r="I18" s="38">
        <f>+H18*D18</f>
        <v>661500</v>
      </c>
      <c r="J18" s="38">
        <v>80</v>
      </c>
      <c r="K18" s="38">
        <f>+J18*D18</f>
        <v>132300</v>
      </c>
      <c r="L18" s="38">
        <f>MIN(F18,H18,J18)</f>
        <v>80</v>
      </c>
      <c r="M18" s="38">
        <f>+L18*D18</f>
        <v>132300</v>
      </c>
    </row>
    <row r="19" spans="1:13" x14ac:dyDescent="0.35">
      <c r="A19" s="8">
        <v>17</v>
      </c>
      <c r="B19" s="8" t="s">
        <v>1529</v>
      </c>
      <c r="C19" s="4" t="str">
        <f>VLOOKUP(B19,'Project Resource Master'!C:O,5,0)</f>
        <v>Beech veneer - Q-Cut</v>
      </c>
      <c r="D19" s="8">
        <f>VLOOKUP(B19,'Project Resource Master'!C:O,13,0)</f>
        <v>3960</v>
      </c>
      <c r="E19" s="8" t="str">
        <f>VLOOKUP(B19,'Project Resource Master'!C:H,6,0)</f>
        <v>sqm</v>
      </c>
      <c r="F19" s="38">
        <v>50</v>
      </c>
      <c r="G19" s="38">
        <f>+F19*D19</f>
        <v>198000</v>
      </c>
      <c r="H19" s="38">
        <v>400</v>
      </c>
      <c r="I19" s="38">
        <f>+H19*D19</f>
        <v>1584000</v>
      </c>
      <c r="J19" s="38">
        <v>80</v>
      </c>
      <c r="K19" s="38">
        <f>+J19*D19</f>
        <v>316800</v>
      </c>
      <c r="L19" s="38">
        <f>MIN(F19,H19,J19)</f>
        <v>50</v>
      </c>
      <c r="M19" s="38">
        <f>+L19*D19</f>
        <v>198000</v>
      </c>
    </row>
    <row r="20" spans="1:13" x14ac:dyDescent="0.35">
      <c r="A20" s="8">
        <v>18</v>
      </c>
      <c r="B20" s="8" t="s">
        <v>1528</v>
      </c>
      <c r="C20" s="4" t="str">
        <f>VLOOKUP(B20,'Project Resource Master'!C:O,5,0)</f>
        <v>Balancer Veneer</v>
      </c>
      <c r="D20" s="8">
        <f>VLOOKUP(B20,'Project Resource Master'!C:O,13,0)</f>
        <v>5265.75</v>
      </c>
      <c r="E20" s="8" t="str">
        <f>VLOOKUP(B20,'Project Resource Master'!C:H,6,0)</f>
        <v>sqm</v>
      </c>
      <c r="F20" s="38">
        <v>50</v>
      </c>
      <c r="G20" s="38">
        <f>+F20*D20</f>
        <v>263287.5</v>
      </c>
      <c r="H20" s="38">
        <v>400</v>
      </c>
      <c r="I20" s="38">
        <f>+H20*D20</f>
        <v>2106300</v>
      </c>
      <c r="J20" s="38">
        <v>2500</v>
      </c>
      <c r="K20" s="38">
        <f>+J20*D20</f>
        <v>13164375</v>
      </c>
      <c r="L20" s="38">
        <f>MIN(F20,H20,J20)</f>
        <v>50</v>
      </c>
      <c r="M20" s="38">
        <f>+L20*D20</f>
        <v>263287.5</v>
      </c>
    </row>
    <row r="21" spans="1:13" x14ac:dyDescent="0.35">
      <c r="A21" s="8">
        <v>19</v>
      </c>
      <c r="B21" s="8" t="s">
        <v>1531</v>
      </c>
      <c r="C21" s="4" t="str">
        <f>VLOOKUP(B21,'Project Resource Master'!C:O,5,0)</f>
        <v>44mm thick NON FR Hollow Door Core</v>
      </c>
      <c r="D21" s="8">
        <f>VLOOKUP(B21,'Project Resource Master'!C:O,13,0)</f>
        <v>44</v>
      </c>
      <c r="E21" s="8" t="str">
        <f>VLOOKUP(B21,'Project Resource Master'!C:H,6,0)</f>
        <v>board</v>
      </c>
      <c r="F21" s="38">
        <v>50</v>
      </c>
      <c r="G21" s="38">
        <f>+F21*D21</f>
        <v>2200</v>
      </c>
      <c r="H21" s="38">
        <v>400</v>
      </c>
      <c r="I21" s="38">
        <f>+H21*D21</f>
        <v>17600</v>
      </c>
      <c r="J21" s="38">
        <v>80</v>
      </c>
      <c r="K21" s="38">
        <f>+J21*D21</f>
        <v>3520</v>
      </c>
      <c r="L21" s="38">
        <f>MIN(F21,H21,J21)</f>
        <v>50</v>
      </c>
      <c r="M21" s="38">
        <f>+L21*D21</f>
        <v>2200</v>
      </c>
    </row>
    <row r="22" spans="1:13" x14ac:dyDescent="0.35">
      <c r="A22" s="8">
        <v>20</v>
      </c>
      <c r="B22" s="8" t="s">
        <v>1530</v>
      </c>
      <c r="C22" s="4" t="str">
        <f>VLOOKUP(B22,'Project Resource Master'!C:O,5,0)</f>
        <v>44mm thick NON FR Solid Door Core</v>
      </c>
      <c r="D22" s="8">
        <f>VLOOKUP(B22,'Project Resource Master'!C:O,13,0)</f>
        <v>31.5</v>
      </c>
      <c r="E22" s="8" t="str">
        <f>VLOOKUP(B22,'Project Resource Master'!C:H,6,0)</f>
        <v>board</v>
      </c>
      <c r="F22" s="38">
        <v>50</v>
      </c>
      <c r="G22" s="38">
        <f>+F22*D22</f>
        <v>1575</v>
      </c>
      <c r="H22" s="38">
        <v>400</v>
      </c>
      <c r="I22" s="38">
        <f>+H22*D22</f>
        <v>12600</v>
      </c>
      <c r="J22" s="38">
        <v>80</v>
      </c>
      <c r="K22" s="38">
        <f>+J22*D22</f>
        <v>2520</v>
      </c>
      <c r="L22" s="38">
        <f>MIN(F22,H22,J22)</f>
        <v>50</v>
      </c>
      <c r="M22" s="38">
        <f>+L22*D22</f>
        <v>1575</v>
      </c>
    </row>
    <row r="23" spans="1:13" x14ac:dyDescent="0.35">
      <c r="A23" s="8">
        <v>21</v>
      </c>
      <c r="B23" s="8" t="s">
        <v>1532</v>
      </c>
      <c r="C23" s="4" t="str">
        <f>VLOOKUP(B23,'Project Resource Master'!C:O,5,0)</f>
        <v>54mm thick 60mins FR Door Core</v>
      </c>
      <c r="D23" s="8">
        <f>VLOOKUP(B23,'Project Resource Master'!C:O,13,0)</f>
        <v>5.5</v>
      </c>
      <c r="E23" s="8" t="str">
        <f>VLOOKUP(B23,'Project Resource Master'!C:H,6,0)</f>
        <v>board</v>
      </c>
      <c r="F23" s="38">
        <v>50</v>
      </c>
      <c r="G23" s="38">
        <f>+F23*D23</f>
        <v>275</v>
      </c>
      <c r="H23" s="38">
        <v>400</v>
      </c>
      <c r="I23" s="38">
        <f>+H23*D23</f>
        <v>2200</v>
      </c>
      <c r="J23" s="38">
        <v>80</v>
      </c>
      <c r="K23" s="38">
        <f>+J23*D23</f>
        <v>440</v>
      </c>
      <c r="L23" s="38">
        <f>MIN(F23,H23,J23)</f>
        <v>50</v>
      </c>
      <c r="M23" s="38">
        <f>+L23*D23</f>
        <v>275</v>
      </c>
    </row>
    <row r="24" spans="1:13" x14ac:dyDescent="0.35">
      <c r="A24" s="8">
        <v>22</v>
      </c>
      <c r="B24" s="8" t="s">
        <v>1533</v>
      </c>
      <c r="C24" s="4" t="str">
        <f>VLOOKUP(B24,'Project Resource Master'!C:O,5,0)</f>
        <v>64mm thick 120mins FR Door Core</v>
      </c>
      <c r="D24" s="8">
        <f>VLOOKUP(B24,'Project Resource Master'!C:O,13,0)</f>
        <v>11</v>
      </c>
      <c r="E24" s="8" t="str">
        <f>VLOOKUP(B24,'Project Resource Master'!C:H,6,0)</f>
        <v>board</v>
      </c>
      <c r="F24" s="38">
        <v>50</v>
      </c>
      <c r="G24" s="38">
        <f>+F24*D24</f>
        <v>550</v>
      </c>
      <c r="H24" s="38">
        <v>400</v>
      </c>
      <c r="I24" s="38">
        <f>+H24*D24</f>
        <v>4400</v>
      </c>
      <c r="J24" s="38">
        <v>80</v>
      </c>
      <c r="K24" s="38">
        <f>+J24*D24</f>
        <v>880</v>
      </c>
      <c r="L24" s="38">
        <f>MIN(F24,H24,J24)</f>
        <v>50</v>
      </c>
      <c r="M24" s="38">
        <f>+L24*D24</f>
        <v>550</v>
      </c>
    </row>
    <row r="25" spans="1:13" x14ac:dyDescent="0.35">
      <c r="A25" s="8"/>
      <c r="B25" s="8"/>
      <c r="C25" s="4"/>
      <c r="D25" s="8"/>
      <c r="E25" s="8"/>
      <c r="F25" s="38"/>
      <c r="G25" s="38"/>
      <c r="H25" s="38"/>
      <c r="I25" s="38"/>
      <c r="J25" s="38"/>
      <c r="K25" s="38"/>
      <c r="L25" s="38"/>
      <c r="M25" s="38"/>
    </row>
    <row r="26" spans="1:13" s="6" customFormat="1" x14ac:dyDescent="0.35">
      <c r="A26" s="5"/>
      <c r="B26" s="5"/>
      <c r="C26" s="5" t="s">
        <v>1498</v>
      </c>
      <c r="D26" s="5"/>
      <c r="E26" s="5"/>
      <c r="F26" s="16"/>
      <c r="G26" s="16">
        <f>SUM(G3:G25)</f>
        <v>84490522.725694448</v>
      </c>
      <c r="H26" s="16"/>
      <c r="I26" s="16">
        <f>SUM(I3:I25)</f>
        <v>323709859.58333337</v>
      </c>
      <c r="J26" s="16"/>
      <c r="K26" s="16">
        <f>SUM(K3:K25)</f>
        <v>109603085.80555555</v>
      </c>
      <c r="L26" s="16"/>
      <c r="M26" s="16">
        <f>SUM(M3:M25)</f>
        <v>40963341.614583336</v>
      </c>
    </row>
  </sheetData>
  <mergeCells count="9">
    <mergeCell ref="H1:I1"/>
    <mergeCell ref="J1:K1"/>
    <mergeCell ref="L1:M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  <pageSetup scale="4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717C-031B-4244-82DD-E679095F3679}">
  <dimension ref="A1:M15"/>
  <sheetViews>
    <sheetView view="pageBreakPreview" zoomScaleNormal="100" zoomScaleSheetLayoutView="100" workbookViewId="0">
      <selection sqref="A1:XFD1048576"/>
    </sheetView>
  </sheetViews>
  <sheetFormatPr defaultRowHeight="14.5" x14ac:dyDescent="0.35"/>
  <cols>
    <col min="1" max="1" width="6.36328125" style="9" customWidth="1"/>
    <col min="2" max="2" width="19.453125" style="9" bestFit="1" customWidth="1"/>
    <col min="3" max="3" width="19.08984375" bestFit="1" customWidth="1"/>
    <col min="4" max="4" width="9.6328125" style="9" bestFit="1" customWidth="1"/>
    <col min="5" max="5" width="4.6328125" style="9" bestFit="1" customWidth="1"/>
    <col min="6" max="6" width="9.08984375" style="39" bestFit="1" customWidth="1"/>
    <col min="7" max="7" width="13.81640625" style="39" bestFit="1" customWidth="1"/>
    <col min="8" max="8" width="7.6328125" style="39" bestFit="1" customWidth="1"/>
    <col min="9" max="9" width="13.81640625" style="39" bestFit="1" customWidth="1"/>
    <col min="10" max="10" width="7.6328125" style="39" bestFit="1" customWidth="1"/>
    <col min="11" max="11" width="13.81640625" style="39" bestFit="1" customWidth="1"/>
    <col min="12" max="12" width="7.6328125" style="39" bestFit="1" customWidth="1"/>
    <col min="13" max="13" width="13.81640625" style="39" bestFit="1" customWidth="1"/>
  </cols>
  <sheetData>
    <row r="1" spans="1:13" s="14" customFormat="1" x14ac:dyDescent="0.35">
      <c r="A1" s="62" t="s">
        <v>110</v>
      </c>
      <c r="B1" s="62" t="s">
        <v>1576</v>
      </c>
      <c r="C1" s="62" t="s">
        <v>111</v>
      </c>
      <c r="D1" s="62" t="s">
        <v>1422</v>
      </c>
      <c r="E1" s="62" t="s">
        <v>1</v>
      </c>
      <c r="F1" s="63" t="s">
        <v>1573</v>
      </c>
      <c r="G1" s="63"/>
      <c r="H1" s="63" t="s">
        <v>1574</v>
      </c>
      <c r="I1" s="63"/>
      <c r="J1" s="63" t="s">
        <v>1575</v>
      </c>
      <c r="K1" s="63"/>
      <c r="L1" s="63" t="s">
        <v>1551</v>
      </c>
      <c r="M1" s="63"/>
    </row>
    <row r="2" spans="1:13" s="14" customFormat="1" x14ac:dyDescent="0.35">
      <c r="A2" s="62"/>
      <c r="B2" s="62"/>
      <c r="C2" s="62"/>
      <c r="D2" s="62"/>
      <c r="E2" s="62"/>
      <c r="F2" s="16" t="s">
        <v>75</v>
      </c>
      <c r="G2" s="16" t="s">
        <v>1122</v>
      </c>
      <c r="H2" s="16" t="s">
        <v>75</v>
      </c>
      <c r="I2" s="16" t="s">
        <v>1122</v>
      </c>
      <c r="J2" s="16" t="s">
        <v>75</v>
      </c>
      <c r="K2" s="16" t="s">
        <v>1122</v>
      </c>
      <c r="L2" s="16" t="s">
        <v>75</v>
      </c>
      <c r="M2" s="16" t="s">
        <v>1122</v>
      </c>
    </row>
    <row r="3" spans="1:13" x14ac:dyDescent="0.35">
      <c r="A3" s="8">
        <v>1</v>
      </c>
      <c r="B3" s="8" t="s">
        <v>1487</v>
      </c>
      <c r="C3" s="4" t="str">
        <f>VLOOKUP(B3,'Project Resource Master'!C:O,5,0)</f>
        <v>Stone Mason</v>
      </c>
      <c r="D3" s="8">
        <f>VLOOKUP(B3,'Project Resource Master'!C:O,13,0)</f>
        <v>10.5</v>
      </c>
      <c r="E3" s="8" t="str">
        <f>VLOOKUP(B3,'Project Resource Master'!C:H,6,0)</f>
        <v>hr</v>
      </c>
      <c r="F3" s="38">
        <v>1000</v>
      </c>
      <c r="G3" s="38">
        <f>+F3*D3</f>
        <v>10500</v>
      </c>
      <c r="H3" s="38">
        <v>100</v>
      </c>
      <c r="I3" s="38">
        <f>+H3*D3</f>
        <v>1050</v>
      </c>
      <c r="J3" s="38">
        <v>80</v>
      </c>
      <c r="K3" s="38">
        <f>+J3*D3</f>
        <v>840</v>
      </c>
      <c r="L3" s="38">
        <f>MIN(F3,H3,J3)</f>
        <v>80</v>
      </c>
      <c r="M3" s="38">
        <f>+L3*D3</f>
        <v>840</v>
      </c>
    </row>
    <row r="4" spans="1:13" x14ac:dyDescent="0.35">
      <c r="A4" s="8">
        <v>2</v>
      </c>
      <c r="B4" s="8" t="s">
        <v>1488</v>
      </c>
      <c r="C4" s="4" t="str">
        <f>VLOOKUP(B4,'Project Resource Master'!C:O,5,0)</f>
        <v>Brick Mason</v>
      </c>
      <c r="D4" s="8">
        <f>VLOOKUP(B4,'Project Resource Master'!C:O,13,0)</f>
        <v>22</v>
      </c>
      <c r="E4" s="8" t="str">
        <f>VLOOKUP(B4,'Project Resource Master'!C:H,6,0)</f>
        <v>hr</v>
      </c>
      <c r="F4" s="38">
        <v>50</v>
      </c>
      <c r="G4" s="38">
        <f>+F4*D4</f>
        <v>1100</v>
      </c>
      <c r="H4" s="38">
        <v>100</v>
      </c>
      <c r="I4" s="38">
        <f>+H4*D4</f>
        <v>2200</v>
      </c>
      <c r="J4" s="38">
        <v>80</v>
      </c>
      <c r="K4" s="38">
        <f>+J4*D4</f>
        <v>1760</v>
      </c>
      <c r="L4" s="38">
        <f>MIN(F4,H4,J4)</f>
        <v>50</v>
      </c>
      <c r="M4" s="38">
        <f>+L4*D4</f>
        <v>1100</v>
      </c>
    </row>
    <row r="5" spans="1:13" x14ac:dyDescent="0.35">
      <c r="A5" s="8">
        <v>3</v>
      </c>
      <c r="B5" s="8" t="s">
        <v>1489</v>
      </c>
      <c r="C5" s="4" t="str">
        <f>VLOOKUP(B5,'Project Resource Master'!C:O,5,0)</f>
        <v>Plastering Mason</v>
      </c>
      <c r="D5" s="8">
        <f>VLOOKUP(B5,'Project Resource Master'!C:O,13,0)</f>
        <v>144018</v>
      </c>
      <c r="E5" s="8" t="str">
        <f>VLOOKUP(B5,'Project Resource Master'!C:H,6,0)</f>
        <v>hr</v>
      </c>
      <c r="F5" s="38">
        <v>50</v>
      </c>
      <c r="G5" s="38">
        <f>+F5*D5</f>
        <v>7200900</v>
      </c>
      <c r="H5" s="38">
        <v>100</v>
      </c>
      <c r="I5" s="38">
        <f>+H5*D5</f>
        <v>14401800</v>
      </c>
      <c r="J5" s="38">
        <v>100</v>
      </c>
      <c r="K5" s="38">
        <f>+J5*D5</f>
        <v>14401800</v>
      </c>
      <c r="L5" s="38">
        <f>MIN(F5,H5,J5)</f>
        <v>50</v>
      </c>
      <c r="M5" s="38">
        <f>+L5*D5</f>
        <v>7200900</v>
      </c>
    </row>
    <row r="6" spans="1:13" x14ac:dyDescent="0.35">
      <c r="A6" s="8">
        <v>4</v>
      </c>
      <c r="B6" s="8" t="s">
        <v>1490</v>
      </c>
      <c r="C6" s="4" t="str">
        <f>VLOOKUP(B6,'Project Resource Master'!C:O,5,0)</f>
        <v>Concrete Mason</v>
      </c>
      <c r="D6" s="8">
        <f>VLOOKUP(B6,'Project Resource Master'!C:O,13,0)</f>
        <v>11137.5</v>
      </c>
      <c r="E6" s="8" t="str">
        <f>VLOOKUP(B6,'Project Resource Master'!C:H,6,0)</f>
        <v>hr</v>
      </c>
      <c r="F6" s="38">
        <v>1000</v>
      </c>
      <c r="G6" s="38">
        <f>+F6*D6</f>
        <v>11137500</v>
      </c>
      <c r="H6" s="38">
        <v>100</v>
      </c>
      <c r="I6" s="38">
        <f>+H6*D6</f>
        <v>1113750</v>
      </c>
      <c r="J6" s="38">
        <v>100</v>
      </c>
      <c r="K6" s="38">
        <f>+J6*D6</f>
        <v>1113750</v>
      </c>
      <c r="L6" s="38">
        <f>MIN(F6,H6,J6)</f>
        <v>100</v>
      </c>
      <c r="M6" s="38">
        <f>+L6*D6</f>
        <v>1113750</v>
      </c>
    </row>
    <row r="7" spans="1:13" x14ac:dyDescent="0.35">
      <c r="A7" s="8">
        <v>5</v>
      </c>
      <c r="B7" s="8" t="s">
        <v>1491</v>
      </c>
      <c r="C7" s="4" t="str">
        <f>VLOOKUP(B7,'Project Resource Master'!C:O,5,0)</f>
        <v>Helper</v>
      </c>
      <c r="D7" s="8">
        <f>VLOOKUP(B7,'Project Resource Master'!C:O,13,0)</f>
        <v>154681.79999999999</v>
      </c>
      <c r="E7" s="8" t="str">
        <f>VLOOKUP(B7,'Project Resource Master'!C:H,6,0)</f>
        <v>hr</v>
      </c>
      <c r="F7" s="38">
        <v>50</v>
      </c>
      <c r="G7" s="38">
        <f>+F7*D7</f>
        <v>7734089.9999999991</v>
      </c>
      <c r="H7" s="38">
        <v>100</v>
      </c>
      <c r="I7" s="38">
        <f>+H7*D7</f>
        <v>15468179.999999998</v>
      </c>
      <c r="J7" s="38">
        <v>100</v>
      </c>
      <c r="K7" s="38">
        <f>+J7*D7</f>
        <v>15468179.999999998</v>
      </c>
      <c r="L7" s="38">
        <f>MIN(F7,H7,J7)</f>
        <v>50</v>
      </c>
      <c r="M7" s="38">
        <f>+L7*D7</f>
        <v>7734089.9999999991</v>
      </c>
    </row>
    <row r="8" spans="1:13" x14ac:dyDescent="0.35">
      <c r="A8" s="8">
        <v>6</v>
      </c>
      <c r="B8" s="8" t="s">
        <v>1492</v>
      </c>
      <c r="C8" s="4" t="str">
        <f>VLOOKUP(B8,'Project Resource Master'!C:O,5,0)</f>
        <v>Helper</v>
      </c>
      <c r="D8" s="8">
        <f>VLOOKUP(B8,'Project Resource Master'!C:O,13,0)</f>
        <v>77</v>
      </c>
      <c r="E8" s="8" t="str">
        <f>VLOOKUP(B8,'Project Resource Master'!C:H,6,0)</f>
        <v>hr</v>
      </c>
      <c r="F8" s="38">
        <v>50</v>
      </c>
      <c r="G8" s="38">
        <f>+F8*D8</f>
        <v>3850</v>
      </c>
      <c r="H8" s="38">
        <v>100</v>
      </c>
      <c r="I8" s="38">
        <f>+H8*D8</f>
        <v>7700</v>
      </c>
      <c r="J8" s="38">
        <v>80</v>
      </c>
      <c r="K8" s="38">
        <f>+J8*D8</f>
        <v>6160</v>
      </c>
      <c r="L8" s="38">
        <f>MIN(F8,H8,J8)</f>
        <v>50</v>
      </c>
      <c r="M8" s="38">
        <f>+L8*D8</f>
        <v>3850</v>
      </c>
    </row>
    <row r="9" spans="1:13" x14ac:dyDescent="0.35">
      <c r="A9" s="8">
        <v>7</v>
      </c>
      <c r="B9" s="8" t="s">
        <v>1493</v>
      </c>
      <c r="C9" s="4" t="str">
        <f>VLOOKUP(B9,'Project Resource Master'!C:O,5,0)</f>
        <v>Mechanic</v>
      </c>
      <c r="D9" s="8">
        <f>VLOOKUP(B9,'Project Resource Master'!C:O,13,0)</f>
        <v>42</v>
      </c>
      <c r="E9" s="8" t="str">
        <f>VLOOKUP(B9,'Project Resource Master'!C:H,6,0)</f>
        <v>hr</v>
      </c>
      <c r="F9" s="38">
        <v>5000</v>
      </c>
      <c r="G9" s="38">
        <f>+F9*D9</f>
        <v>210000</v>
      </c>
      <c r="H9" s="38">
        <v>100</v>
      </c>
      <c r="I9" s="38">
        <f>+H9*D9</f>
        <v>4200</v>
      </c>
      <c r="J9" s="38">
        <v>80</v>
      </c>
      <c r="K9" s="38">
        <f>+J9*D9</f>
        <v>3360</v>
      </c>
      <c r="L9" s="38">
        <f>MIN(F9,H9,J9)</f>
        <v>80</v>
      </c>
      <c r="M9" s="38">
        <f>+L9*D9</f>
        <v>3360</v>
      </c>
    </row>
    <row r="10" spans="1:13" x14ac:dyDescent="0.35">
      <c r="A10" s="8">
        <v>8</v>
      </c>
      <c r="B10" s="8" t="s">
        <v>1494</v>
      </c>
      <c r="C10" s="4" t="str">
        <f>VLOOKUP(B10,'Project Resource Master'!C:O,5,0)</f>
        <v>HVAC Technician</v>
      </c>
      <c r="D10" s="8">
        <f>VLOOKUP(B10,'Project Resource Master'!C:O,13,0)</f>
        <v>11</v>
      </c>
      <c r="E10" s="8" t="str">
        <f>VLOOKUP(B10,'Project Resource Master'!C:H,6,0)</f>
        <v>hr</v>
      </c>
      <c r="F10" s="38">
        <v>50</v>
      </c>
      <c r="G10" s="38">
        <f>+F10*D10</f>
        <v>550</v>
      </c>
      <c r="H10" s="38">
        <v>100</v>
      </c>
      <c r="I10" s="38">
        <f>+H10*D10</f>
        <v>1100</v>
      </c>
      <c r="J10" s="38">
        <v>80</v>
      </c>
      <c r="K10" s="38">
        <f>+J10*D10</f>
        <v>880</v>
      </c>
      <c r="L10" s="38">
        <f>MIN(F10,H10,J10)</f>
        <v>50</v>
      </c>
      <c r="M10" s="38">
        <f>+L10*D10</f>
        <v>550</v>
      </c>
    </row>
    <row r="11" spans="1:13" x14ac:dyDescent="0.35">
      <c r="A11" s="8">
        <v>9</v>
      </c>
      <c r="B11" s="8" t="s">
        <v>1495</v>
      </c>
      <c r="C11" s="4" t="str">
        <f>VLOOKUP(B11,'Project Resource Master'!C:O,5,0)</f>
        <v>IT Technician</v>
      </c>
      <c r="D11" s="8">
        <f>VLOOKUP(B11,'Project Resource Master'!C:O,13,0)</f>
        <v>21</v>
      </c>
      <c r="E11" s="8" t="str">
        <f>VLOOKUP(B11,'Project Resource Master'!C:H,6,0)</f>
        <v>hr</v>
      </c>
      <c r="F11" s="38">
        <v>50</v>
      </c>
      <c r="G11" s="38">
        <f>+F11*D11</f>
        <v>1050</v>
      </c>
      <c r="H11" s="38">
        <v>100</v>
      </c>
      <c r="I11" s="38">
        <f>+H11*D11</f>
        <v>2100</v>
      </c>
      <c r="J11" s="38">
        <v>80</v>
      </c>
      <c r="K11" s="38">
        <f>+J11*D11</f>
        <v>1680</v>
      </c>
      <c r="L11" s="38">
        <f>MIN(F11,H11,J11)</f>
        <v>50</v>
      </c>
      <c r="M11" s="38">
        <f>+L11*D11</f>
        <v>1050</v>
      </c>
    </row>
    <row r="12" spans="1:13" x14ac:dyDescent="0.35">
      <c r="A12" s="8">
        <v>10</v>
      </c>
      <c r="B12" s="8" t="s">
        <v>1497</v>
      </c>
      <c r="C12" s="4" t="str">
        <f>VLOOKUP(B12,'Project Resource Master'!C:O,5,0)</f>
        <v>Helper</v>
      </c>
      <c r="D12" s="8">
        <f>VLOOKUP(B12,'Project Resource Master'!C:O,13,0)</f>
        <v>32534.400000000001</v>
      </c>
      <c r="E12" s="8" t="str">
        <f>VLOOKUP(B12,'Project Resource Master'!C:H,6,0)</f>
        <v>hr</v>
      </c>
      <c r="F12" s="38">
        <v>100</v>
      </c>
      <c r="G12" s="38">
        <f>+F12*D12</f>
        <v>3253440</v>
      </c>
      <c r="H12" s="38">
        <v>100</v>
      </c>
      <c r="I12" s="38">
        <f>+H12*D12</f>
        <v>3253440</v>
      </c>
      <c r="J12" s="38">
        <v>100</v>
      </c>
      <c r="K12" s="38">
        <f>+J12*D12</f>
        <v>3253440</v>
      </c>
      <c r="L12" s="38">
        <f>MIN(F12,H12,J12)</f>
        <v>100</v>
      </c>
      <c r="M12" s="38">
        <f>+L12*D12</f>
        <v>3253440</v>
      </c>
    </row>
    <row r="13" spans="1:13" x14ac:dyDescent="0.35">
      <c r="A13" s="8">
        <v>11</v>
      </c>
      <c r="B13" s="8" t="s">
        <v>1496</v>
      </c>
      <c r="C13" s="4" t="str">
        <f>VLOOKUP(B13,'Project Resource Master'!C:O,5,0)</f>
        <v>Carpenter</v>
      </c>
      <c r="D13" s="8">
        <f>VLOOKUP(B13,'Project Resource Master'!C:O,13,0)</f>
        <v>32474.400000000001</v>
      </c>
      <c r="E13" s="8" t="str">
        <f>VLOOKUP(B13,'Project Resource Master'!C:H,6,0)</f>
        <v>hr</v>
      </c>
      <c r="F13" s="38">
        <v>100</v>
      </c>
      <c r="G13" s="38">
        <f>+F13*D13</f>
        <v>3247440</v>
      </c>
      <c r="H13" s="38">
        <v>100</v>
      </c>
      <c r="I13" s="38">
        <f>+H13*D13</f>
        <v>3247440</v>
      </c>
      <c r="J13" s="38">
        <v>100</v>
      </c>
      <c r="K13" s="38">
        <f>+J13*D13</f>
        <v>3247440</v>
      </c>
      <c r="L13" s="38">
        <f>MIN(F13,H13,J13)</f>
        <v>100</v>
      </c>
      <c r="M13" s="38">
        <f>+L13*D13</f>
        <v>3247440</v>
      </c>
    </row>
    <row r="14" spans="1:13" x14ac:dyDescent="0.35">
      <c r="A14" s="8"/>
      <c r="B14" s="8"/>
      <c r="C14" s="4"/>
      <c r="D14" s="8"/>
      <c r="E14" s="8"/>
      <c r="F14" s="38"/>
      <c r="G14" s="38"/>
      <c r="H14" s="38"/>
      <c r="I14" s="38"/>
      <c r="J14" s="38"/>
      <c r="K14" s="38"/>
      <c r="L14" s="38"/>
      <c r="M14" s="38"/>
    </row>
    <row r="15" spans="1:13" s="6" customFormat="1" x14ac:dyDescent="0.35">
      <c r="A15" s="5"/>
      <c r="B15" s="5"/>
      <c r="C15" s="5" t="s">
        <v>1498</v>
      </c>
      <c r="D15" s="5"/>
      <c r="E15" s="5"/>
      <c r="F15" s="16"/>
      <c r="G15" s="16">
        <f>SUM(G3:G14)</f>
        <v>32800420</v>
      </c>
      <c r="H15" s="16"/>
      <c r="I15" s="16">
        <f>SUM(I3:I14)</f>
        <v>37502960</v>
      </c>
      <c r="J15" s="16"/>
      <c r="K15" s="16">
        <f>SUM(K3:K14)</f>
        <v>37499290</v>
      </c>
      <c r="L15" s="16"/>
      <c r="M15" s="16">
        <f>SUM(M3:M14)</f>
        <v>22560370</v>
      </c>
    </row>
  </sheetData>
  <mergeCells count="9">
    <mergeCell ref="H1:I1"/>
    <mergeCell ref="J1:K1"/>
    <mergeCell ref="L1:M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  <pageSetup scale="4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C474-BC97-49EF-8304-52CAA054EE44}">
  <dimension ref="A1:H270"/>
  <sheetViews>
    <sheetView view="pageBreakPreview" topLeftCell="A233" zoomScaleNormal="100" zoomScaleSheetLayoutView="100" workbookViewId="0">
      <selection activeCell="G260" sqref="G260"/>
    </sheetView>
  </sheetViews>
  <sheetFormatPr defaultRowHeight="14.5" x14ac:dyDescent="0.35"/>
  <cols>
    <col min="1" max="1" width="6.36328125" style="9" bestFit="1" customWidth="1"/>
    <col min="2" max="2" width="31.54296875" customWidth="1"/>
    <col min="3" max="3" width="11.54296875" style="9" customWidth="1"/>
    <col min="4" max="4" width="8.1796875" style="9" customWidth="1"/>
    <col min="5" max="5" width="10.90625" style="15" customWidth="1"/>
    <col min="6" max="6" width="14.81640625" style="15" bestFit="1" customWidth="1"/>
    <col min="7" max="7" width="12.81640625" customWidth="1"/>
    <col min="8" max="8" width="13.6328125" bestFit="1" customWidth="1"/>
  </cols>
  <sheetData>
    <row r="1" spans="1:6" x14ac:dyDescent="0.35">
      <c r="A1" s="57" t="s">
        <v>1134</v>
      </c>
      <c r="B1" s="57"/>
      <c r="C1" s="57"/>
      <c r="D1" s="57"/>
      <c r="E1" s="57"/>
      <c r="F1" s="57"/>
    </row>
    <row r="2" spans="1:6" x14ac:dyDescent="0.35">
      <c r="A2" s="57" t="s">
        <v>1123</v>
      </c>
      <c r="B2" s="57"/>
      <c r="C2" s="57"/>
      <c r="D2" s="57"/>
      <c r="E2" s="57"/>
      <c r="F2" s="57"/>
    </row>
    <row r="3" spans="1:6" s="6" customFormat="1" x14ac:dyDescent="0.35">
      <c r="A3" s="5" t="s">
        <v>110</v>
      </c>
      <c r="B3" s="5" t="s">
        <v>1121</v>
      </c>
      <c r="C3" s="5" t="s">
        <v>3</v>
      </c>
      <c r="D3" s="5" t="s">
        <v>1</v>
      </c>
      <c r="E3" s="16" t="s">
        <v>75</v>
      </c>
      <c r="F3" s="16" t="s">
        <v>1122</v>
      </c>
    </row>
    <row r="4" spans="1:6" x14ac:dyDescent="0.35">
      <c r="A4" s="12">
        <v>1</v>
      </c>
      <c r="B4" s="10" t="s">
        <v>1124</v>
      </c>
      <c r="C4" s="12"/>
      <c r="D4" s="12"/>
      <c r="E4" s="18"/>
      <c r="F4" s="18"/>
    </row>
    <row r="5" spans="1:6" x14ac:dyDescent="0.35">
      <c r="A5" s="8"/>
      <c r="B5" s="4"/>
      <c r="C5" s="8"/>
      <c r="D5" s="8"/>
      <c r="E5" s="17"/>
      <c r="F5" s="17"/>
    </row>
    <row r="6" spans="1:6" x14ac:dyDescent="0.35">
      <c r="A6" s="8" t="s">
        <v>1135</v>
      </c>
      <c r="B6" s="4" t="s">
        <v>1125</v>
      </c>
      <c r="C6" s="8">
        <v>1</v>
      </c>
      <c r="D6" s="8" t="s">
        <v>1147</v>
      </c>
      <c r="E6" s="17">
        <f>'Working BOQ'!S12</f>
        <v>147500</v>
      </c>
      <c r="F6" s="17">
        <f>E6*C6</f>
        <v>147500</v>
      </c>
    </row>
    <row r="7" spans="1:6" x14ac:dyDescent="0.35">
      <c r="A7" s="8"/>
      <c r="B7" s="4"/>
      <c r="C7" s="8"/>
      <c r="D7" s="8"/>
      <c r="E7" s="17"/>
      <c r="F7" s="17"/>
    </row>
    <row r="8" spans="1:6" x14ac:dyDescent="0.35">
      <c r="A8" s="8" t="s">
        <v>1140</v>
      </c>
      <c r="B8" s="4" t="s">
        <v>1126</v>
      </c>
      <c r="C8" s="8">
        <v>1</v>
      </c>
      <c r="D8" s="8" t="s">
        <v>1147</v>
      </c>
      <c r="E8" s="17">
        <f>'Working BOQ'!S13</f>
        <v>147500</v>
      </c>
      <c r="F8" s="17">
        <f>E8*C8</f>
        <v>147500</v>
      </c>
    </row>
    <row r="9" spans="1:6" x14ac:dyDescent="0.35">
      <c r="A9" s="8"/>
      <c r="B9" s="4"/>
      <c r="C9" s="8"/>
      <c r="D9" s="8"/>
      <c r="E9" s="17"/>
      <c r="F9" s="17"/>
    </row>
    <row r="10" spans="1:6" x14ac:dyDescent="0.35">
      <c r="A10" s="8" t="s">
        <v>1141</v>
      </c>
      <c r="B10" s="4" t="s">
        <v>1127</v>
      </c>
      <c r="C10" s="8">
        <v>1</v>
      </c>
      <c r="D10" s="8" t="s">
        <v>1147</v>
      </c>
      <c r="E10" s="17">
        <f>'Working BOQ'!S14</f>
        <v>147500</v>
      </c>
      <c r="F10" s="17">
        <f>E10*C10</f>
        <v>147500</v>
      </c>
    </row>
    <row r="11" spans="1:6" x14ac:dyDescent="0.35">
      <c r="A11" s="8"/>
      <c r="B11" s="4"/>
      <c r="C11" s="8"/>
      <c r="D11" s="8"/>
      <c r="E11" s="17"/>
      <c r="F11" s="17"/>
    </row>
    <row r="12" spans="1:6" x14ac:dyDescent="0.35">
      <c r="A12" s="8" t="s">
        <v>1142</v>
      </c>
      <c r="B12" s="4" t="s">
        <v>1128</v>
      </c>
      <c r="C12" s="8">
        <v>1</v>
      </c>
      <c r="D12" s="8" t="s">
        <v>1147</v>
      </c>
      <c r="E12" s="17">
        <f>'Working BOQ'!S15</f>
        <v>147500</v>
      </c>
      <c r="F12" s="17">
        <f>E12*C12</f>
        <v>147500</v>
      </c>
    </row>
    <row r="13" spans="1:6" x14ac:dyDescent="0.35">
      <c r="A13" s="8"/>
      <c r="B13" s="4"/>
      <c r="C13" s="8"/>
      <c r="D13" s="8"/>
      <c r="E13" s="17"/>
      <c r="F13" s="17"/>
    </row>
    <row r="14" spans="1:6" x14ac:dyDescent="0.35">
      <c r="A14" s="8" t="s">
        <v>1139</v>
      </c>
      <c r="B14" s="4" t="s">
        <v>1129</v>
      </c>
      <c r="C14" s="8">
        <v>1</v>
      </c>
      <c r="D14" s="8" t="s">
        <v>1147</v>
      </c>
      <c r="E14" s="17">
        <f>'Working BOQ'!S16</f>
        <v>147500</v>
      </c>
      <c r="F14" s="17">
        <f>E14*C14</f>
        <v>147500</v>
      </c>
    </row>
    <row r="15" spans="1:6" x14ac:dyDescent="0.35">
      <c r="A15" s="8"/>
      <c r="B15" s="4"/>
      <c r="C15" s="8"/>
      <c r="D15" s="8"/>
      <c r="E15" s="17"/>
      <c r="F15" s="17"/>
    </row>
    <row r="16" spans="1:6" x14ac:dyDescent="0.35">
      <c r="A16" s="8" t="s">
        <v>1143</v>
      </c>
      <c r="B16" s="4" t="s">
        <v>1130</v>
      </c>
      <c r="C16" s="8">
        <v>1</v>
      </c>
      <c r="D16" s="8" t="s">
        <v>1147</v>
      </c>
      <c r="E16" s="17">
        <f>'Working BOQ'!S17</f>
        <v>147500</v>
      </c>
      <c r="F16" s="17">
        <f>E16*C16</f>
        <v>147500</v>
      </c>
    </row>
    <row r="17" spans="1:6" x14ac:dyDescent="0.35">
      <c r="A17" s="8"/>
      <c r="B17" s="4"/>
      <c r="C17" s="8"/>
      <c r="D17" s="8"/>
      <c r="E17" s="17"/>
      <c r="F17" s="17"/>
    </row>
    <row r="18" spans="1:6" x14ac:dyDescent="0.35">
      <c r="A18" s="8" t="s">
        <v>1144</v>
      </c>
      <c r="B18" s="4" t="s">
        <v>1131</v>
      </c>
      <c r="C18" s="8">
        <v>1</v>
      </c>
      <c r="D18" s="8" t="s">
        <v>1147</v>
      </c>
      <c r="E18" s="17">
        <f>'Working BOQ'!S18</f>
        <v>147500</v>
      </c>
      <c r="F18" s="17">
        <f>E18*C18</f>
        <v>147500</v>
      </c>
    </row>
    <row r="19" spans="1:6" x14ac:dyDescent="0.35">
      <c r="A19" s="8"/>
      <c r="B19" s="4"/>
      <c r="C19" s="8"/>
      <c r="D19" s="8"/>
      <c r="E19" s="17"/>
      <c r="F19" s="17"/>
    </row>
    <row r="20" spans="1:6" x14ac:dyDescent="0.35">
      <c r="A20" s="8" t="s">
        <v>1145</v>
      </c>
      <c r="B20" s="4" t="s">
        <v>1132</v>
      </c>
      <c r="C20" s="8">
        <v>1</v>
      </c>
      <c r="D20" s="8" t="s">
        <v>1147</v>
      </c>
      <c r="E20" s="17">
        <f>'Working BOQ'!S19</f>
        <v>147500</v>
      </c>
      <c r="F20" s="17">
        <f>E20*C20</f>
        <v>147500</v>
      </c>
    </row>
    <row r="21" spans="1:6" x14ac:dyDescent="0.35">
      <c r="A21" s="8"/>
      <c r="B21" s="4"/>
      <c r="C21" s="8"/>
      <c r="D21" s="8"/>
      <c r="E21" s="17"/>
      <c r="F21" s="17"/>
    </row>
    <row r="22" spans="1:6" x14ac:dyDescent="0.35">
      <c r="A22" s="8" t="s">
        <v>1136</v>
      </c>
      <c r="B22" s="4" t="s">
        <v>1133</v>
      </c>
      <c r="C22" s="8">
        <v>1</v>
      </c>
      <c r="D22" s="8" t="s">
        <v>1147</v>
      </c>
      <c r="E22" s="17">
        <f>'Working BOQ'!S20</f>
        <v>147500</v>
      </c>
      <c r="F22" s="17">
        <f>E22*C22</f>
        <v>147500</v>
      </c>
    </row>
    <row r="23" spans="1:6" x14ac:dyDescent="0.35">
      <c r="A23" s="8"/>
      <c r="B23" s="4"/>
      <c r="C23" s="8"/>
      <c r="D23" s="8"/>
      <c r="E23" s="17"/>
      <c r="F23" s="17"/>
    </row>
    <row r="24" spans="1:6" x14ac:dyDescent="0.35">
      <c r="A24" s="12"/>
      <c r="B24" s="19" t="s">
        <v>1146</v>
      </c>
      <c r="C24" s="12"/>
      <c r="D24" s="12"/>
      <c r="E24" s="18"/>
      <c r="F24" s="18">
        <f>SUM(F4:F23)</f>
        <v>1327500</v>
      </c>
    </row>
    <row r="25" spans="1:6" x14ac:dyDescent="0.35">
      <c r="A25" s="8"/>
      <c r="B25" s="4"/>
      <c r="C25" s="8"/>
      <c r="D25" s="8"/>
      <c r="E25" s="17"/>
      <c r="F25" s="17"/>
    </row>
    <row r="26" spans="1:6" x14ac:dyDescent="0.35">
      <c r="A26" s="8"/>
      <c r="B26" s="12" t="s">
        <v>1148</v>
      </c>
      <c r="C26" s="8"/>
      <c r="D26" s="8"/>
      <c r="E26" s="17"/>
      <c r="F26" s="17"/>
    </row>
    <row r="27" spans="1:6" x14ac:dyDescent="0.35">
      <c r="A27" s="8"/>
      <c r="B27" s="10"/>
      <c r="C27" s="8"/>
      <c r="D27" s="8"/>
      <c r="E27" s="17"/>
      <c r="F27" s="17"/>
    </row>
    <row r="28" spans="1:6" x14ac:dyDescent="0.35">
      <c r="A28" s="8"/>
      <c r="B28" s="10" t="s">
        <v>1149</v>
      </c>
      <c r="C28" s="8"/>
      <c r="D28" s="8"/>
      <c r="E28" s="17"/>
      <c r="F28" s="17"/>
    </row>
    <row r="29" spans="1:6" x14ac:dyDescent="0.35">
      <c r="A29" s="8"/>
      <c r="B29" s="10"/>
      <c r="C29" s="8"/>
      <c r="D29" s="8"/>
      <c r="E29" s="17"/>
      <c r="F29" s="17"/>
    </row>
    <row r="30" spans="1:6" x14ac:dyDescent="0.35">
      <c r="A30" s="8"/>
      <c r="B30" s="10" t="s">
        <v>1150</v>
      </c>
      <c r="C30" s="8"/>
      <c r="D30" s="8"/>
      <c r="E30" s="17"/>
      <c r="F30" s="17">
        <f>F24</f>
        <v>1327500</v>
      </c>
    </row>
    <row r="31" spans="1:6" x14ac:dyDescent="0.35">
      <c r="A31" s="8"/>
      <c r="B31" s="10"/>
      <c r="C31" s="8"/>
      <c r="D31" s="8"/>
      <c r="E31" s="17"/>
      <c r="F31" s="17"/>
    </row>
    <row r="32" spans="1:6" s="11" customFormat="1" x14ac:dyDescent="0.35">
      <c r="A32" s="12"/>
      <c r="B32" s="19" t="s">
        <v>1151</v>
      </c>
      <c r="C32" s="12"/>
      <c r="D32" s="12"/>
      <c r="E32" s="18"/>
      <c r="F32" s="18">
        <f>SUM(F26:F31)</f>
        <v>1327500</v>
      </c>
    </row>
    <row r="33" spans="1:6" s="11" customFormat="1" x14ac:dyDescent="0.35">
      <c r="A33" s="12"/>
      <c r="B33" s="19"/>
      <c r="C33" s="12"/>
      <c r="D33" s="12"/>
      <c r="E33" s="18"/>
      <c r="F33" s="18"/>
    </row>
    <row r="34" spans="1:6" x14ac:dyDescent="0.35">
      <c r="A34" s="12">
        <v>2</v>
      </c>
      <c r="B34" s="10" t="s">
        <v>1152</v>
      </c>
      <c r="C34" s="12"/>
      <c r="D34" s="12"/>
      <c r="E34" s="18"/>
      <c r="F34" s="18"/>
    </row>
    <row r="35" spans="1:6" x14ac:dyDescent="0.35">
      <c r="A35" s="8"/>
      <c r="B35" s="4"/>
      <c r="C35" s="8"/>
      <c r="D35" s="8"/>
      <c r="E35" s="17"/>
      <c r="F35" s="17"/>
    </row>
    <row r="36" spans="1:6" x14ac:dyDescent="0.35">
      <c r="A36" s="8" t="s">
        <v>1135</v>
      </c>
      <c r="B36" s="4" t="s">
        <v>1153</v>
      </c>
      <c r="C36" s="8">
        <v>1</v>
      </c>
      <c r="D36" s="8" t="s">
        <v>1147</v>
      </c>
      <c r="E36" s="17">
        <f>'Working BOQ'!S23</f>
        <v>2013.375</v>
      </c>
      <c r="F36" s="17">
        <f>E36*C36</f>
        <v>2013.375</v>
      </c>
    </row>
    <row r="37" spans="1:6" x14ac:dyDescent="0.35">
      <c r="A37" s="8"/>
      <c r="B37" s="4"/>
      <c r="C37" s="8"/>
      <c r="D37" s="8"/>
      <c r="E37" s="17"/>
      <c r="F37" s="17"/>
    </row>
    <row r="38" spans="1:6" x14ac:dyDescent="0.35">
      <c r="A38" s="8" t="s">
        <v>1140</v>
      </c>
      <c r="B38" s="4" t="s">
        <v>1154</v>
      </c>
      <c r="C38" s="8">
        <v>1</v>
      </c>
      <c r="D38" s="8" t="s">
        <v>1147</v>
      </c>
      <c r="E38" s="17">
        <f>'Working BOQ'!S24</f>
        <v>1585.625</v>
      </c>
      <c r="F38" s="17">
        <f>E38*C38</f>
        <v>1585.625</v>
      </c>
    </row>
    <row r="39" spans="1:6" x14ac:dyDescent="0.35">
      <c r="A39" s="8"/>
      <c r="B39" s="4"/>
      <c r="C39" s="8"/>
      <c r="D39" s="8"/>
      <c r="E39" s="17"/>
      <c r="F39" s="17"/>
    </row>
    <row r="40" spans="1:6" x14ac:dyDescent="0.35">
      <c r="A40" s="8" t="s">
        <v>1141</v>
      </c>
      <c r="B40" s="4" t="s">
        <v>1155</v>
      </c>
      <c r="C40" s="8">
        <v>1</v>
      </c>
      <c r="D40" s="8" t="s">
        <v>1147</v>
      </c>
      <c r="E40" s="17">
        <f>'Working BOQ'!S25</f>
        <v>1622.5</v>
      </c>
      <c r="F40" s="17">
        <f>E40*C40</f>
        <v>1622.5</v>
      </c>
    </row>
    <row r="41" spans="1:6" x14ac:dyDescent="0.35">
      <c r="A41" s="8"/>
      <c r="B41" s="4"/>
      <c r="C41" s="8"/>
      <c r="D41" s="8"/>
      <c r="E41" s="17"/>
      <c r="F41" s="17"/>
    </row>
    <row r="42" spans="1:6" x14ac:dyDescent="0.35">
      <c r="A42" s="8" t="s">
        <v>1142</v>
      </c>
      <c r="B42" s="4" t="s">
        <v>1156</v>
      </c>
      <c r="C42" s="8">
        <v>1</v>
      </c>
      <c r="D42" s="8" t="s">
        <v>1147</v>
      </c>
      <c r="E42" s="17">
        <f>'Working BOQ'!S26</f>
        <v>2050.25</v>
      </c>
      <c r="F42" s="17">
        <f>E42*C42</f>
        <v>2050.25</v>
      </c>
    </row>
    <row r="43" spans="1:6" x14ac:dyDescent="0.35">
      <c r="A43" s="8"/>
      <c r="B43" s="4"/>
      <c r="C43" s="8"/>
      <c r="D43" s="8"/>
      <c r="E43" s="17"/>
      <c r="F43" s="17"/>
    </row>
    <row r="44" spans="1:6" x14ac:dyDescent="0.35">
      <c r="A44" s="8" t="s">
        <v>1139</v>
      </c>
      <c r="B44" s="4" t="s">
        <v>1157</v>
      </c>
      <c r="C44" s="8">
        <v>1</v>
      </c>
      <c r="D44" s="8" t="s">
        <v>1147</v>
      </c>
      <c r="E44" s="17">
        <f>'Working BOQ'!S27</f>
        <v>2050.25</v>
      </c>
      <c r="F44" s="17">
        <f>E44*C44</f>
        <v>2050.25</v>
      </c>
    </row>
    <row r="45" spans="1:6" x14ac:dyDescent="0.35">
      <c r="A45" s="8"/>
      <c r="B45" s="4"/>
      <c r="C45" s="8"/>
      <c r="D45" s="8"/>
      <c r="E45" s="17"/>
      <c r="F45" s="17"/>
    </row>
    <row r="46" spans="1:6" x14ac:dyDescent="0.35">
      <c r="A46" s="8" t="s">
        <v>1143</v>
      </c>
      <c r="B46" s="4" t="s">
        <v>1158</v>
      </c>
      <c r="C46" s="8">
        <v>1</v>
      </c>
      <c r="D46" s="8" t="s">
        <v>1147</v>
      </c>
      <c r="E46" s="17">
        <f>'Working BOQ'!S28</f>
        <v>2050.25</v>
      </c>
      <c r="F46" s="17">
        <f>E46*C46</f>
        <v>2050.25</v>
      </c>
    </row>
    <row r="47" spans="1:6" x14ac:dyDescent="0.35">
      <c r="A47" s="8"/>
      <c r="B47" s="4"/>
      <c r="C47" s="8"/>
      <c r="D47" s="8"/>
      <c r="E47" s="17"/>
      <c r="F47" s="17"/>
    </row>
    <row r="48" spans="1:6" x14ac:dyDescent="0.35">
      <c r="A48" s="8" t="s">
        <v>1144</v>
      </c>
      <c r="B48" s="4" t="s">
        <v>1159</v>
      </c>
      <c r="C48" s="8">
        <v>1</v>
      </c>
      <c r="D48" s="8" t="s">
        <v>1147</v>
      </c>
      <c r="E48" s="17">
        <f>'Working BOQ'!S29</f>
        <v>2050.25</v>
      </c>
      <c r="F48" s="17">
        <f>E48*C48</f>
        <v>2050.25</v>
      </c>
    </row>
    <row r="49" spans="1:6" x14ac:dyDescent="0.35">
      <c r="A49" s="8"/>
      <c r="B49" s="4"/>
      <c r="C49" s="8"/>
      <c r="D49" s="8"/>
      <c r="E49" s="17"/>
      <c r="F49" s="17"/>
    </row>
    <row r="50" spans="1:6" x14ac:dyDescent="0.35">
      <c r="A50" s="8" t="s">
        <v>1145</v>
      </c>
      <c r="B50" s="4" t="s">
        <v>1160</v>
      </c>
      <c r="C50" s="8">
        <v>1</v>
      </c>
      <c r="D50" s="8" t="s">
        <v>1147</v>
      </c>
      <c r="E50" s="17">
        <f>'Working BOQ'!S30</f>
        <v>1585.625</v>
      </c>
      <c r="F50" s="17">
        <f>E50*C50</f>
        <v>1585.625</v>
      </c>
    </row>
    <row r="51" spans="1:6" x14ac:dyDescent="0.35">
      <c r="A51" s="8"/>
      <c r="B51" s="4"/>
      <c r="C51" s="8"/>
      <c r="D51" s="8"/>
      <c r="E51" s="17"/>
      <c r="F51" s="17"/>
    </row>
    <row r="52" spans="1:6" x14ac:dyDescent="0.35">
      <c r="A52" s="8" t="s">
        <v>1136</v>
      </c>
      <c r="B52" s="4" t="s">
        <v>1161</v>
      </c>
      <c r="C52" s="8">
        <v>1</v>
      </c>
      <c r="D52" s="8" t="s">
        <v>1147</v>
      </c>
      <c r="E52" s="17">
        <f>'Working BOQ'!S31</f>
        <v>3540</v>
      </c>
      <c r="F52" s="17">
        <f>E52*C52</f>
        <v>3540</v>
      </c>
    </row>
    <row r="53" spans="1:6" x14ac:dyDescent="0.35">
      <c r="A53" s="8"/>
      <c r="B53" s="4"/>
      <c r="C53" s="8"/>
      <c r="D53" s="8"/>
      <c r="E53" s="17"/>
      <c r="F53" s="17"/>
    </row>
    <row r="54" spans="1:6" x14ac:dyDescent="0.35">
      <c r="A54" s="12"/>
      <c r="B54" s="19" t="s">
        <v>1162</v>
      </c>
      <c r="C54" s="12"/>
      <c r="D54" s="12"/>
      <c r="E54" s="18"/>
      <c r="F54" s="18">
        <f>SUM(F34:F53)</f>
        <v>18548.125</v>
      </c>
    </row>
    <row r="55" spans="1:6" s="11" customFormat="1" x14ac:dyDescent="0.35">
      <c r="A55" s="12"/>
      <c r="B55" s="19"/>
      <c r="C55" s="12"/>
      <c r="D55" s="12"/>
      <c r="E55" s="18"/>
      <c r="F55" s="18"/>
    </row>
    <row r="56" spans="1:6" x14ac:dyDescent="0.35">
      <c r="A56" s="12">
        <v>2</v>
      </c>
      <c r="B56" s="10" t="s">
        <v>1163</v>
      </c>
      <c r="C56" s="12"/>
      <c r="D56" s="12"/>
      <c r="E56" s="18"/>
      <c r="F56" s="18"/>
    </row>
    <row r="57" spans="1:6" x14ac:dyDescent="0.35">
      <c r="A57" s="8"/>
      <c r="B57" s="4"/>
      <c r="C57" s="8"/>
      <c r="D57" s="8"/>
      <c r="E57" s="17"/>
      <c r="F57" s="17"/>
    </row>
    <row r="58" spans="1:6" x14ac:dyDescent="0.35">
      <c r="A58" s="8" t="s">
        <v>1170</v>
      </c>
      <c r="B58" s="4" t="s">
        <v>1164</v>
      </c>
      <c r="C58" s="8">
        <v>1</v>
      </c>
      <c r="D58" s="8" t="s">
        <v>1147</v>
      </c>
      <c r="E58" s="17">
        <f>'Working BOQ'!S32</f>
        <v>3540</v>
      </c>
      <c r="F58" s="17">
        <f>E58*C58</f>
        <v>3540</v>
      </c>
    </row>
    <row r="59" spans="1:6" x14ac:dyDescent="0.35">
      <c r="A59" s="8"/>
      <c r="B59" s="4"/>
      <c r="C59" s="8"/>
      <c r="D59" s="8"/>
      <c r="E59" s="17"/>
      <c r="F59" s="17"/>
    </row>
    <row r="60" spans="1:6" x14ac:dyDescent="0.35">
      <c r="A60" s="8" t="s">
        <v>1137</v>
      </c>
      <c r="B60" s="4" t="s">
        <v>1165</v>
      </c>
      <c r="C60" s="8">
        <v>1</v>
      </c>
      <c r="D60" s="8" t="s">
        <v>1147</v>
      </c>
      <c r="E60" s="17">
        <f>'Working BOQ'!S33</f>
        <v>3540</v>
      </c>
      <c r="F60" s="17">
        <f>E60*C60</f>
        <v>3540</v>
      </c>
    </row>
    <row r="61" spans="1:6" x14ac:dyDescent="0.35">
      <c r="A61" s="8"/>
      <c r="B61" s="4"/>
      <c r="C61" s="8"/>
      <c r="D61" s="8"/>
      <c r="E61" s="17"/>
      <c r="F61" s="17"/>
    </row>
    <row r="62" spans="1:6" x14ac:dyDescent="0.35">
      <c r="A62" s="8" t="s">
        <v>1171</v>
      </c>
      <c r="B62" s="4" t="s">
        <v>1166</v>
      </c>
      <c r="C62" s="8">
        <v>1</v>
      </c>
      <c r="D62" s="8" t="s">
        <v>1147</v>
      </c>
      <c r="E62" s="17">
        <f>'Working BOQ'!S34</f>
        <v>1585.625</v>
      </c>
      <c r="F62" s="17">
        <f>E62*C62</f>
        <v>1585.625</v>
      </c>
    </row>
    <row r="63" spans="1:6" x14ac:dyDescent="0.35">
      <c r="A63" s="8"/>
      <c r="B63" s="4"/>
      <c r="C63" s="8"/>
      <c r="D63" s="8"/>
      <c r="E63" s="17"/>
      <c r="F63" s="17"/>
    </row>
    <row r="64" spans="1:6" x14ac:dyDescent="0.35">
      <c r="A64" s="8" t="s">
        <v>8</v>
      </c>
      <c r="B64" s="4" t="s">
        <v>1167</v>
      </c>
      <c r="C64" s="8">
        <v>1</v>
      </c>
      <c r="D64" s="8" t="s">
        <v>1147</v>
      </c>
      <c r="E64" s="17">
        <f>'Working BOQ'!S35</f>
        <v>1585.625</v>
      </c>
      <c r="F64" s="17">
        <f>E64*C64</f>
        <v>1585.625</v>
      </c>
    </row>
    <row r="65" spans="1:6" x14ac:dyDescent="0.35">
      <c r="A65" s="8"/>
      <c r="B65" s="4"/>
      <c r="C65" s="8"/>
      <c r="D65" s="8"/>
      <c r="E65" s="17"/>
      <c r="F65" s="17"/>
    </row>
    <row r="66" spans="1:6" x14ac:dyDescent="0.35">
      <c r="A66" s="8" t="s">
        <v>1172</v>
      </c>
      <c r="B66" s="4" t="s">
        <v>1168</v>
      </c>
      <c r="C66" s="8">
        <v>1</v>
      </c>
      <c r="D66" s="8" t="s">
        <v>1147</v>
      </c>
      <c r="E66" s="17">
        <f>'Working BOQ'!S36</f>
        <v>3540</v>
      </c>
      <c r="F66" s="17">
        <f>E66*C66</f>
        <v>3540</v>
      </c>
    </row>
    <row r="67" spans="1:6" x14ac:dyDescent="0.35">
      <c r="A67" s="8"/>
      <c r="B67" s="4"/>
      <c r="C67" s="8"/>
      <c r="D67" s="8"/>
      <c r="E67" s="17"/>
      <c r="F67" s="17"/>
    </row>
    <row r="68" spans="1:6" x14ac:dyDescent="0.35">
      <c r="A68" s="8" t="s">
        <v>1173</v>
      </c>
      <c r="B68" s="4" t="s">
        <v>1169</v>
      </c>
      <c r="C68" s="8">
        <v>1</v>
      </c>
      <c r="D68" s="8" t="s">
        <v>1147</v>
      </c>
      <c r="E68" s="17">
        <f>'Working BOQ'!S37</f>
        <v>1770</v>
      </c>
      <c r="F68" s="17">
        <f>E68*C68</f>
        <v>1770</v>
      </c>
    </row>
    <row r="69" spans="1:6" x14ac:dyDescent="0.35">
      <c r="A69" s="8"/>
      <c r="B69" s="4"/>
      <c r="C69" s="8"/>
      <c r="D69" s="8"/>
      <c r="E69" s="17"/>
      <c r="F69" s="17"/>
    </row>
    <row r="70" spans="1:6" x14ac:dyDescent="0.35">
      <c r="A70" s="8" t="s">
        <v>1174</v>
      </c>
      <c r="B70" s="4" t="s">
        <v>1177</v>
      </c>
      <c r="C70" s="8">
        <v>1</v>
      </c>
      <c r="D70" s="8" t="s">
        <v>1147</v>
      </c>
      <c r="E70" s="17">
        <f>'Working BOQ'!S38</f>
        <v>354</v>
      </c>
      <c r="F70" s="17">
        <f>E70*C70</f>
        <v>354</v>
      </c>
    </row>
    <row r="71" spans="1:6" x14ac:dyDescent="0.35">
      <c r="A71" s="8"/>
      <c r="B71" s="4"/>
      <c r="C71" s="8"/>
      <c r="D71" s="8"/>
      <c r="E71" s="17"/>
      <c r="F71" s="17"/>
    </row>
    <row r="72" spans="1:6" x14ac:dyDescent="0.35">
      <c r="A72" s="8" t="s">
        <v>1175</v>
      </c>
      <c r="B72" s="4" t="s">
        <v>1178</v>
      </c>
      <c r="C72" s="8">
        <v>1</v>
      </c>
      <c r="D72" s="8" t="s">
        <v>1147</v>
      </c>
      <c r="E72" s="17">
        <f>'Working BOQ'!S39</f>
        <v>354</v>
      </c>
      <c r="F72" s="17">
        <f>E72*C72</f>
        <v>354</v>
      </c>
    </row>
    <row r="73" spans="1:6" x14ac:dyDescent="0.35">
      <c r="A73" s="8"/>
      <c r="B73" s="4"/>
      <c r="C73" s="8"/>
      <c r="D73" s="8"/>
      <c r="E73" s="17"/>
      <c r="F73" s="17"/>
    </row>
    <row r="74" spans="1:6" x14ac:dyDescent="0.35">
      <c r="A74" s="8" t="s">
        <v>1176</v>
      </c>
      <c r="B74" s="4" t="s">
        <v>1179</v>
      </c>
      <c r="C74" s="8">
        <v>1</v>
      </c>
      <c r="D74" s="8" t="s">
        <v>1147</v>
      </c>
      <c r="E74" s="17">
        <f>'Working BOQ'!S40</f>
        <v>77.4375</v>
      </c>
      <c r="F74" s="17">
        <f>E74*C74</f>
        <v>77.4375</v>
      </c>
    </row>
    <row r="75" spans="1:6" x14ac:dyDescent="0.35">
      <c r="A75" s="8"/>
      <c r="B75" s="4"/>
      <c r="C75" s="8"/>
      <c r="D75" s="8"/>
      <c r="E75" s="17"/>
      <c r="F75" s="17"/>
    </row>
    <row r="76" spans="1:6" x14ac:dyDescent="0.35">
      <c r="A76" s="12"/>
      <c r="B76" s="19" t="s">
        <v>1180</v>
      </c>
      <c r="C76" s="12"/>
      <c r="D76" s="12"/>
      <c r="E76" s="18"/>
      <c r="F76" s="18">
        <f>SUM(F56:F75)</f>
        <v>16346.6875</v>
      </c>
    </row>
    <row r="77" spans="1:6" x14ac:dyDescent="0.35">
      <c r="A77" s="8"/>
      <c r="B77" s="4"/>
      <c r="C77" s="8"/>
      <c r="D77" s="8"/>
      <c r="E77" s="17"/>
      <c r="F77" s="17"/>
    </row>
    <row r="78" spans="1:6" x14ac:dyDescent="0.35">
      <c r="A78" s="8"/>
      <c r="B78" s="12" t="s">
        <v>1148</v>
      </c>
      <c r="C78" s="8"/>
      <c r="D78" s="8"/>
      <c r="E78" s="17"/>
      <c r="F78" s="17"/>
    </row>
    <row r="79" spans="1:6" x14ac:dyDescent="0.35">
      <c r="A79" s="8"/>
      <c r="B79" s="10"/>
      <c r="C79" s="8"/>
      <c r="D79" s="8"/>
      <c r="E79" s="17"/>
      <c r="F79" s="17"/>
    </row>
    <row r="80" spans="1:6" x14ac:dyDescent="0.35">
      <c r="A80" s="8"/>
      <c r="B80" s="10" t="s">
        <v>1181</v>
      </c>
      <c r="C80" s="8"/>
      <c r="D80" s="8"/>
      <c r="E80" s="17"/>
      <c r="F80" s="17"/>
    </row>
    <row r="81" spans="1:6" x14ac:dyDescent="0.35">
      <c r="A81" s="8"/>
      <c r="B81" s="10"/>
      <c r="C81" s="8"/>
      <c r="D81" s="8"/>
      <c r="E81" s="17"/>
      <c r="F81" s="17"/>
    </row>
    <row r="82" spans="1:6" x14ac:dyDescent="0.35">
      <c r="A82" s="8"/>
      <c r="B82" s="10" t="s">
        <v>1182</v>
      </c>
      <c r="C82" s="8"/>
      <c r="D82" s="8"/>
      <c r="E82" s="17"/>
      <c r="F82" s="17">
        <f>F54</f>
        <v>18548.125</v>
      </c>
    </row>
    <row r="83" spans="1:6" x14ac:dyDescent="0.35">
      <c r="A83" s="8"/>
      <c r="B83" s="10"/>
      <c r="C83" s="8"/>
      <c r="D83" s="8"/>
      <c r="E83" s="17"/>
      <c r="F83" s="17"/>
    </row>
    <row r="84" spans="1:6" x14ac:dyDescent="0.35">
      <c r="A84" s="8"/>
      <c r="B84" s="10" t="s">
        <v>1183</v>
      </c>
      <c r="C84" s="8"/>
      <c r="D84" s="8"/>
      <c r="E84" s="17"/>
      <c r="F84" s="17">
        <f>F76</f>
        <v>16346.6875</v>
      </c>
    </row>
    <row r="85" spans="1:6" x14ac:dyDescent="0.35">
      <c r="A85" s="8"/>
      <c r="B85" s="10"/>
      <c r="C85" s="8"/>
      <c r="D85" s="8"/>
      <c r="E85" s="17"/>
      <c r="F85" s="17"/>
    </row>
    <row r="86" spans="1:6" s="11" customFormat="1" x14ac:dyDescent="0.35">
      <c r="A86" s="12"/>
      <c r="B86" s="19" t="s">
        <v>1184</v>
      </c>
      <c r="C86" s="12"/>
      <c r="D86" s="12"/>
      <c r="E86" s="18"/>
      <c r="F86" s="18">
        <f>SUM(F78:F85)</f>
        <v>34894.8125</v>
      </c>
    </row>
    <row r="87" spans="1:6" s="11" customFormat="1" x14ac:dyDescent="0.35">
      <c r="A87" s="12"/>
      <c r="B87" s="19"/>
      <c r="C87" s="12"/>
      <c r="D87" s="12"/>
      <c r="E87" s="18"/>
      <c r="F87" s="18"/>
    </row>
    <row r="88" spans="1:6" x14ac:dyDescent="0.35">
      <c r="A88" s="12">
        <v>3</v>
      </c>
      <c r="B88" s="10" t="s">
        <v>1185</v>
      </c>
      <c r="C88" s="12"/>
      <c r="D88" s="12"/>
      <c r="E88" s="18"/>
      <c r="F88" s="18"/>
    </row>
    <row r="89" spans="1:6" x14ac:dyDescent="0.35">
      <c r="A89" s="8"/>
      <c r="B89" s="4"/>
      <c r="C89" s="8"/>
      <c r="D89" s="8"/>
      <c r="E89" s="17"/>
      <c r="F89" s="17"/>
    </row>
    <row r="90" spans="1:6" x14ac:dyDescent="0.35">
      <c r="A90" s="8" t="s">
        <v>1135</v>
      </c>
      <c r="B90" s="4" t="s">
        <v>1186</v>
      </c>
      <c r="C90" s="8">
        <v>1025</v>
      </c>
      <c r="D90" s="8" t="s">
        <v>12</v>
      </c>
      <c r="E90" s="17">
        <f>'Working BOQ'!S43</f>
        <v>2459.5625</v>
      </c>
      <c r="F90" s="17">
        <f>E90*C90</f>
        <v>2521051.5625</v>
      </c>
    </row>
    <row r="91" spans="1:6" x14ac:dyDescent="0.35">
      <c r="A91" s="8"/>
      <c r="B91" s="4"/>
      <c r="C91" s="8"/>
      <c r="D91" s="8"/>
      <c r="E91" s="17"/>
      <c r="F91" s="17"/>
    </row>
    <row r="92" spans="1:6" x14ac:dyDescent="0.35">
      <c r="A92" s="8" t="s">
        <v>1140</v>
      </c>
      <c r="B92" s="4" t="s">
        <v>1187</v>
      </c>
      <c r="C92" s="8">
        <v>100</v>
      </c>
      <c r="D92" s="8" t="s">
        <v>12</v>
      </c>
      <c r="E92" s="17">
        <f>'Working BOQ'!S44</f>
        <v>3503.125</v>
      </c>
      <c r="F92" s="17">
        <f>E92*C92</f>
        <v>350312.5</v>
      </c>
    </row>
    <row r="93" spans="1:6" x14ac:dyDescent="0.35">
      <c r="A93" s="8"/>
      <c r="B93" s="4"/>
      <c r="C93" s="8"/>
      <c r="D93" s="8"/>
      <c r="E93" s="17"/>
      <c r="F93" s="17"/>
    </row>
    <row r="94" spans="1:6" x14ac:dyDescent="0.35">
      <c r="A94" s="8" t="s">
        <v>1141</v>
      </c>
      <c r="B94" s="4" t="s">
        <v>1188</v>
      </c>
      <c r="C94" s="8">
        <v>400</v>
      </c>
      <c r="D94" s="8" t="s">
        <v>12</v>
      </c>
      <c r="E94" s="17">
        <f>'Working BOQ'!S45</f>
        <v>2441.125</v>
      </c>
      <c r="F94" s="17">
        <f>E94*C94</f>
        <v>976450</v>
      </c>
    </row>
    <row r="95" spans="1:6" x14ac:dyDescent="0.35">
      <c r="A95" s="8"/>
      <c r="B95" s="4"/>
      <c r="C95" s="8"/>
      <c r="D95" s="8"/>
      <c r="E95" s="17"/>
      <c r="F95" s="17"/>
    </row>
    <row r="96" spans="1:6" x14ac:dyDescent="0.35">
      <c r="A96" s="8" t="s">
        <v>1142</v>
      </c>
      <c r="B96" s="4" t="s">
        <v>1189</v>
      </c>
      <c r="C96" s="8">
        <v>1</v>
      </c>
      <c r="D96" s="8" t="s">
        <v>1147</v>
      </c>
      <c r="E96" s="17">
        <f>'Working BOQ'!S46</f>
        <v>182162.5</v>
      </c>
      <c r="F96" s="17">
        <f>E96*C96</f>
        <v>182162.5</v>
      </c>
    </row>
    <row r="97" spans="1:6" x14ac:dyDescent="0.35">
      <c r="A97" s="8"/>
      <c r="B97" s="4"/>
      <c r="C97" s="8"/>
      <c r="D97" s="8"/>
      <c r="E97" s="17"/>
      <c r="F97" s="17"/>
    </row>
    <row r="98" spans="1:6" x14ac:dyDescent="0.35">
      <c r="A98" s="8" t="s">
        <v>1139</v>
      </c>
      <c r="B98" s="4" t="s">
        <v>1190</v>
      </c>
      <c r="C98" s="8">
        <v>6850</v>
      </c>
      <c r="D98" s="8" t="s">
        <v>10</v>
      </c>
      <c r="E98" s="17">
        <f>'Working BOQ'!S47</f>
        <v>221.25</v>
      </c>
      <c r="F98" s="17">
        <f>E98*C98</f>
        <v>1515562.5</v>
      </c>
    </row>
    <row r="99" spans="1:6" x14ac:dyDescent="0.35">
      <c r="A99" s="8"/>
      <c r="B99" s="4"/>
      <c r="C99" s="8"/>
      <c r="D99" s="8"/>
      <c r="E99" s="17"/>
      <c r="F99" s="17"/>
    </row>
    <row r="100" spans="1:6" x14ac:dyDescent="0.35">
      <c r="A100" s="8" t="s">
        <v>1143</v>
      </c>
      <c r="B100" s="4" t="s">
        <v>1191</v>
      </c>
      <c r="C100" s="8">
        <v>1000</v>
      </c>
      <c r="D100" s="8" t="s">
        <v>10</v>
      </c>
      <c r="E100" s="17">
        <f>'Working BOQ'!S48</f>
        <v>265.5</v>
      </c>
      <c r="F100" s="17">
        <f>E100*C100</f>
        <v>265500</v>
      </c>
    </row>
    <row r="101" spans="1:6" x14ac:dyDescent="0.35">
      <c r="A101" s="8"/>
      <c r="B101" s="4"/>
      <c r="C101" s="8"/>
      <c r="D101" s="8"/>
      <c r="E101" s="17"/>
      <c r="F101" s="17"/>
    </row>
    <row r="102" spans="1:6" x14ac:dyDescent="0.35">
      <c r="A102" s="8" t="s">
        <v>1144</v>
      </c>
      <c r="B102" s="4" t="s">
        <v>1192</v>
      </c>
      <c r="C102" s="8">
        <v>2000</v>
      </c>
      <c r="D102" s="8" t="s">
        <v>10</v>
      </c>
      <c r="E102" s="17">
        <f>'Working BOQ'!S49</f>
        <v>280.25</v>
      </c>
      <c r="F102" s="17">
        <f>E102*C102</f>
        <v>560500</v>
      </c>
    </row>
    <row r="103" spans="1:6" x14ac:dyDescent="0.35">
      <c r="A103" s="8"/>
      <c r="B103" s="4"/>
      <c r="C103" s="8"/>
      <c r="D103" s="8"/>
      <c r="E103" s="17"/>
      <c r="F103" s="17"/>
    </row>
    <row r="104" spans="1:6" x14ac:dyDescent="0.35">
      <c r="A104" s="8" t="s">
        <v>1145</v>
      </c>
      <c r="B104" s="4" t="s">
        <v>1194</v>
      </c>
      <c r="C104" s="8">
        <v>6850</v>
      </c>
      <c r="D104" s="8" t="s">
        <v>10</v>
      </c>
      <c r="E104" s="17">
        <f>'Working BOQ'!S50</f>
        <v>118</v>
      </c>
      <c r="F104" s="17">
        <f>E104*C104</f>
        <v>808300</v>
      </c>
    </row>
    <row r="105" spans="1:6" x14ac:dyDescent="0.35">
      <c r="A105" s="8"/>
      <c r="B105" s="4"/>
      <c r="C105" s="8"/>
      <c r="D105" s="8"/>
      <c r="E105" s="17"/>
      <c r="F105" s="17"/>
    </row>
    <row r="106" spans="1:6" x14ac:dyDescent="0.35">
      <c r="A106" s="8" t="s">
        <v>1136</v>
      </c>
      <c r="B106" s="4" t="s">
        <v>1193</v>
      </c>
      <c r="C106" s="8">
        <v>1400</v>
      </c>
      <c r="D106" s="8" t="s">
        <v>10</v>
      </c>
      <c r="E106" s="17">
        <f>'Working BOQ'!S51</f>
        <v>73.75</v>
      </c>
      <c r="F106" s="17">
        <f>E106*C106</f>
        <v>103250</v>
      </c>
    </row>
    <row r="107" spans="1:6" x14ac:dyDescent="0.35">
      <c r="A107" s="8"/>
      <c r="B107" s="4"/>
      <c r="C107" s="8"/>
      <c r="D107" s="8"/>
      <c r="E107" s="17"/>
      <c r="F107" s="17"/>
    </row>
    <row r="108" spans="1:6" x14ac:dyDescent="0.35">
      <c r="A108" s="12"/>
      <c r="B108" s="19" t="s">
        <v>1201</v>
      </c>
      <c r="C108" s="12"/>
      <c r="D108" s="12"/>
      <c r="E108" s="18"/>
      <c r="F108" s="18">
        <f>SUM(F88:F107)</f>
        <v>7283089.0625</v>
      </c>
    </row>
    <row r="109" spans="1:6" s="11" customFormat="1" x14ac:dyDescent="0.35">
      <c r="A109" s="12"/>
      <c r="B109" s="19"/>
      <c r="C109" s="12"/>
      <c r="D109" s="12"/>
      <c r="E109" s="18"/>
      <c r="F109" s="18"/>
    </row>
    <row r="110" spans="1:6" x14ac:dyDescent="0.35">
      <c r="A110" s="12">
        <v>3</v>
      </c>
      <c r="B110" s="10" t="s">
        <v>1196</v>
      </c>
      <c r="C110" s="12"/>
      <c r="D110" s="12"/>
      <c r="E110" s="18"/>
      <c r="F110" s="18"/>
    </row>
    <row r="111" spans="1:6" x14ac:dyDescent="0.35">
      <c r="A111" s="8"/>
      <c r="B111" s="4"/>
      <c r="C111" s="8"/>
      <c r="D111" s="8"/>
      <c r="E111" s="17"/>
      <c r="F111" s="17"/>
    </row>
    <row r="112" spans="1:6" x14ac:dyDescent="0.35">
      <c r="A112" s="8" t="s">
        <v>1170</v>
      </c>
      <c r="B112" s="4" t="s">
        <v>1195</v>
      </c>
      <c r="C112" s="8">
        <v>2000</v>
      </c>
      <c r="D112" s="8" t="s">
        <v>10</v>
      </c>
      <c r="E112" s="17">
        <f>'Working BOQ'!S52</f>
        <v>118</v>
      </c>
      <c r="F112" s="17">
        <f>E112*C112</f>
        <v>236000</v>
      </c>
    </row>
    <row r="113" spans="1:6" x14ac:dyDescent="0.35">
      <c r="A113" s="8"/>
      <c r="B113" s="4"/>
      <c r="C113" s="8"/>
      <c r="D113" s="8"/>
      <c r="E113" s="17"/>
      <c r="F113" s="17"/>
    </row>
    <row r="114" spans="1:6" x14ac:dyDescent="0.35">
      <c r="A114" s="8" t="s">
        <v>1137</v>
      </c>
      <c r="B114" s="4" t="s">
        <v>1208</v>
      </c>
      <c r="C114" s="8">
        <v>680</v>
      </c>
      <c r="D114" s="8" t="s">
        <v>10</v>
      </c>
      <c r="E114" s="17">
        <f>'Working BOQ'!S53</f>
        <v>184.375</v>
      </c>
      <c r="F114" s="17">
        <f>E114*C114</f>
        <v>125375</v>
      </c>
    </row>
    <row r="115" spans="1:6" x14ac:dyDescent="0.35">
      <c r="A115" s="8"/>
      <c r="B115" s="4"/>
      <c r="C115" s="8"/>
      <c r="D115" s="8"/>
      <c r="E115" s="17"/>
      <c r="F115" s="17"/>
    </row>
    <row r="116" spans="1:6" x14ac:dyDescent="0.35">
      <c r="A116" s="8" t="s">
        <v>1171</v>
      </c>
      <c r="B116" s="4" t="s">
        <v>1207</v>
      </c>
      <c r="C116" s="8">
        <v>680</v>
      </c>
      <c r="D116" s="8" t="s">
        <v>10</v>
      </c>
      <c r="E116" s="17">
        <f>'Working BOQ'!S54</f>
        <v>147.5</v>
      </c>
      <c r="F116" s="17">
        <f>E116*C116</f>
        <v>100300</v>
      </c>
    </row>
    <row r="117" spans="1:6" x14ac:dyDescent="0.35">
      <c r="A117" s="8"/>
      <c r="B117" s="4"/>
      <c r="C117" s="8"/>
      <c r="D117" s="8"/>
      <c r="E117" s="17"/>
      <c r="F117" s="17"/>
    </row>
    <row r="118" spans="1:6" x14ac:dyDescent="0.35">
      <c r="A118" s="8" t="s">
        <v>8</v>
      </c>
      <c r="B118" s="4" t="s">
        <v>1209</v>
      </c>
      <c r="C118" s="8">
        <v>680</v>
      </c>
      <c r="D118" s="8" t="s">
        <v>10</v>
      </c>
      <c r="E118" s="17">
        <f>'Working BOQ'!S55</f>
        <v>73.75</v>
      </c>
      <c r="F118" s="17">
        <f>E118*C118</f>
        <v>50150</v>
      </c>
    </row>
    <row r="119" spans="1:6" x14ac:dyDescent="0.35">
      <c r="A119" s="8"/>
      <c r="B119" s="4"/>
      <c r="C119" s="8"/>
      <c r="D119" s="8"/>
      <c r="E119" s="17"/>
      <c r="F119" s="17"/>
    </row>
    <row r="120" spans="1:6" x14ac:dyDescent="0.35">
      <c r="A120" s="8" t="s">
        <v>1172</v>
      </c>
      <c r="B120" s="4" t="s">
        <v>1210</v>
      </c>
      <c r="C120" s="8">
        <v>1380</v>
      </c>
      <c r="D120" s="8" t="s">
        <v>10</v>
      </c>
      <c r="E120" s="17">
        <f>'Working BOQ'!S56</f>
        <v>13153.3125</v>
      </c>
      <c r="F120" s="17">
        <f>E120*C120</f>
        <v>18151571.25</v>
      </c>
    </row>
    <row r="121" spans="1:6" x14ac:dyDescent="0.35">
      <c r="A121" s="8"/>
      <c r="B121" s="4"/>
      <c r="C121" s="8"/>
      <c r="D121" s="8"/>
      <c r="E121" s="17"/>
      <c r="F121" s="17"/>
    </row>
    <row r="122" spans="1:6" x14ac:dyDescent="0.35">
      <c r="A122" s="8" t="s">
        <v>1173</v>
      </c>
      <c r="B122" s="4" t="s">
        <v>1211</v>
      </c>
      <c r="C122" s="8">
        <v>1000</v>
      </c>
      <c r="D122" s="8" t="s">
        <v>10</v>
      </c>
      <c r="E122" s="17">
        <f>'Working BOQ'!S57</f>
        <v>27044.125</v>
      </c>
      <c r="F122" s="17">
        <f>E122*C122</f>
        <v>27044125</v>
      </c>
    </row>
    <row r="123" spans="1:6" x14ac:dyDescent="0.35">
      <c r="A123" s="8"/>
      <c r="B123" s="4"/>
      <c r="C123" s="8"/>
      <c r="D123" s="8"/>
      <c r="E123" s="17"/>
      <c r="F123" s="17"/>
    </row>
    <row r="124" spans="1:6" x14ac:dyDescent="0.35">
      <c r="A124" s="8" t="s">
        <v>1174</v>
      </c>
      <c r="B124" s="4" t="s">
        <v>1219</v>
      </c>
      <c r="C124" s="8">
        <v>300</v>
      </c>
      <c r="D124" s="8" t="s">
        <v>10</v>
      </c>
      <c r="E124" s="17">
        <f>'Working BOQ'!S58</f>
        <v>184.375</v>
      </c>
      <c r="F124" s="17">
        <f>E124*C124</f>
        <v>55312.5</v>
      </c>
    </row>
    <row r="125" spans="1:6" x14ac:dyDescent="0.35">
      <c r="A125" s="8"/>
      <c r="B125" s="4"/>
      <c r="C125" s="8"/>
      <c r="D125" s="8"/>
      <c r="E125" s="17"/>
      <c r="F125" s="17"/>
    </row>
    <row r="126" spans="1:6" x14ac:dyDescent="0.35">
      <c r="A126" s="12"/>
      <c r="B126" s="19" t="s">
        <v>1202</v>
      </c>
      <c r="C126" s="12"/>
      <c r="D126" s="12"/>
      <c r="E126" s="18"/>
      <c r="F126" s="18">
        <f>SUM(F110:F125)</f>
        <v>45762833.75</v>
      </c>
    </row>
    <row r="127" spans="1:6" x14ac:dyDescent="0.35">
      <c r="A127" s="8"/>
      <c r="B127" s="4"/>
      <c r="C127" s="8"/>
      <c r="D127" s="8"/>
      <c r="E127" s="17"/>
      <c r="F127" s="17"/>
    </row>
    <row r="128" spans="1:6" x14ac:dyDescent="0.35">
      <c r="A128" s="8"/>
      <c r="B128" s="12" t="s">
        <v>1148</v>
      </c>
      <c r="C128" s="8"/>
      <c r="D128" s="8"/>
      <c r="E128" s="17"/>
      <c r="F128" s="17"/>
    </row>
    <row r="129" spans="1:6" x14ac:dyDescent="0.35">
      <c r="A129" s="8"/>
      <c r="B129" s="10"/>
      <c r="C129" s="8"/>
      <c r="D129" s="8"/>
      <c r="E129" s="17"/>
      <c r="F129" s="17"/>
    </row>
    <row r="130" spans="1:6" x14ac:dyDescent="0.35">
      <c r="A130" s="8"/>
      <c r="B130" s="10" t="s">
        <v>1205</v>
      </c>
      <c r="C130" s="8"/>
      <c r="D130" s="8"/>
      <c r="E130" s="17"/>
      <c r="F130" s="17"/>
    </row>
    <row r="131" spans="1:6" x14ac:dyDescent="0.35">
      <c r="A131" s="8"/>
      <c r="B131" s="10"/>
      <c r="C131" s="8"/>
      <c r="D131" s="8"/>
      <c r="E131" s="17"/>
      <c r="F131" s="17"/>
    </row>
    <row r="132" spans="1:6" x14ac:dyDescent="0.35">
      <c r="A132" s="8"/>
      <c r="B132" s="10" t="s">
        <v>1203</v>
      </c>
      <c r="C132" s="8"/>
      <c r="D132" s="8"/>
      <c r="E132" s="17"/>
      <c r="F132" s="17">
        <f>F108</f>
        <v>7283089.0625</v>
      </c>
    </row>
    <row r="133" spans="1:6" x14ac:dyDescent="0.35">
      <c r="A133" s="8"/>
      <c r="B133" s="10"/>
      <c r="C133" s="8"/>
      <c r="D133" s="8"/>
      <c r="E133" s="17"/>
      <c r="F133" s="17"/>
    </row>
    <row r="134" spans="1:6" x14ac:dyDescent="0.35">
      <c r="A134" s="8"/>
      <c r="B134" s="10" t="s">
        <v>1204</v>
      </c>
      <c r="C134" s="8"/>
      <c r="D134" s="8"/>
      <c r="E134" s="17"/>
      <c r="F134" s="17">
        <f>F126</f>
        <v>45762833.75</v>
      </c>
    </row>
    <row r="135" spans="1:6" x14ac:dyDescent="0.35">
      <c r="A135" s="8"/>
      <c r="B135" s="10"/>
      <c r="C135" s="8"/>
      <c r="D135" s="8"/>
      <c r="E135" s="17"/>
      <c r="F135" s="17"/>
    </row>
    <row r="136" spans="1:6" s="11" customFormat="1" x14ac:dyDescent="0.35">
      <c r="A136" s="12"/>
      <c r="B136" s="19" t="s">
        <v>1250</v>
      </c>
      <c r="C136" s="12"/>
      <c r="D136" s="12"/>
      <c r="E136" s="18"/>
      <c r="F136" s="18">
        <f>SUM(F128:F135)</f>
        <v>53045922.8125</v>
      </c>
    </row>
    <row r="137" spans="1:6" x14ac:dyDescent="0.35">
      <c r="A137" s="12"/>
      <c r="B137" s="19"/>
      <c r="C137" s="12"/>
      <c r="D137" s="12"/>
      <c r="E137" s="18"/>
      <c r="F137" s="18"/>
    </row>
    <row r="138" spans="1:6" x14ac:dyDescent="0.35">
      <c r="A138" s="12">
        <v>4</v>
      </c>
      <c r="B138" s="10" t="s">
        <v>1206</v>
      </c>
      <c r="C138" s="12"/>
      <c r="D138" s="12"/>
      <c r="E138" s="18"/>
      <c r="F138" s="18"/>
    </row>
    <row r="139" spans="1:6" x14ac:dyDescent="0.35">
      <c r="A139" s="8"/>
      <c r="B139" s="4"/>
      <c r="C139" s="8"/>
      <c r="D139" s="8"/>
      <c r="E139" s="17"/>
      <c r="F139" s="17"/>
    </row>
    <row r="140" spans="1:6" x14ac:dyDescent="0.35">
      <c r="A140" s="8" t="s">
        <v>1135</v>
      </c>
      <c r="B140" s="4" t="s">
        <v>1197</v>
      </c>
      <c r="C140" s="8">
        <v>6000</v>
      </c>
      <c r="D140" s="8" t="s">
        <v>10</v>
      </c>
      <c r="E140" s="17">
        <f>'Working BOQ'!S61</f>
        <v>2031.8125</v>
      </c>
      <c r="F140" s="17">
        <f>E140*C140</f>
        <v>12190875</v>
      </c>
    </row>
    <row r="141" spans="1:6" x14ac:dyDescent="0.35">
      <c r="A141" s="8"/>
      <c r="B141" s="4"/>
      <c r="C141" s="8"/>
      <c r="D141" s="8"/>
      <c r="E141" s="17"/>
      <c r="F141" s="17"/>
    </row>
    <row r="142" spans="1:6" x14ac:dyDescent="0.35">
      <c r="A142" s="8" t="s">
        <v>1140</v>
      </c>
      <c r="B142" s="4" t="s">
        <v>1198</v>
      </c>
      <c r="C142" s="8">
        <v>3000</v>
      </c>
      <c r="D142" s="8" t="s">
        <v>10</v>
      </c>
      <c r="E142" s="17">
        <f>'Working BOQ'!S62</f>
        <v>2031.8125</v>
      </c>
      <c r="F142" s="17">
        <f>E142*C142</f>
        <v>6095437.5</v>
      </c>
    </row>
    <row r="143" spans="1:6" x14ac:dyDescent="0.35">
      <c r="A143" s="8"/>
      <c r="B143" s="4"/>
      <c r="C143" s="8"/>
      <c r="D143" s="8"/>
      <c r="E143" s="17"/>
      <c r="F143" s="17"/>
    </row>
    <row r="144" spans="1:6" x14ac:dyDescent="0.35">
      <c r="A144" s="8" t="s">
        <v>1141</v>
      </c>
      <c r="B144" s="4" t="s">
        <v>1199</v>
      </c>
      <c r="C144" s="8">
        <v>1500</v>
      </c>
      <c r="D144" s="8" t="s">
        <v>10</v>
      </c>
      <c r="E144" s="17">
        <f>'Working BOQ'!S63</f>
        <v>2031.8125</v>
      </c>
      <c r="F144" s="17">
        <f>E144*C144</f>
        <v>3047718.75</v>
      </c>
    </row>
    <row r="145" spans="1:6" x14ac:dyDescent="0.35">
      <c r="A145" s="8"/>
      <c r="B145" s="4"/>
      <c r="C145" s="8"/>
      <c r="D145" s="8"/>
      <c r="E145" s="17"/>
      <c r="F145" s="17"/>
    </row>
    <row r="146" spans="1:6" x14ac:dyDescent="0.35">
      <c r="A146" s="8" t="s">
        <v>1142</v>
      </c>
      <c r="B146" s="4" t="s">
        <v>1212</v>
      </c>
      <c r="C146" s="8">
        <v>75</v>
      </c>
      <c r="D146" s="8" t="s">
        <v>10</v>
      </c>
      <c r="E146" s="17">
        <f>'Working BOQ'!S64</f>
        <v>5409.5625</v>
      </c>
      <c r="F146" s="17">
        <f>E146*C146</f>
        <v>405717.1875</v>
      </c>
    </row>
    <row r="147" spans="1:6" x14ac:dyDescent="0.35">
      <c r="A147" s="8"/>
      <c r="B147" s="4"/>
      <c r="C147" s="8"/>
      <c r="D147" s="8"/>
      <c r="E147" s="17"/>
      <c r="F147" s="17"/>
    </row>
    <row r="148" spans="1:6" x14ac:dyDescent="0.35">
      <c r="A148" s="8" t="s">
        <v>1139</v>
      </c>
      <c r="B148" s="4" t="s">
        <v>1213</v>
      </c>
      <c r="C148" s="8">
        <v>18</v>
      </c>
      <c r="D148" s="8" t="s">
        <v>10</v>
      </c>
      <c r="E148" s="17">
        <f>'Working BOQ'!S65</f>
        <v>5409.5625</v>
      </c>
      <c r="F148" s="17">
        <f>E148*C148</f>
        <v>97372.125</v>
      </c>
    </row>
    <row r="149" spans="1:6" x14ac:dyDescent="0.35">
      <c r="A149" s="8"/>
      <c r="B149" s="4"/>
      <c r="C149" s="8"/>
      <c r="D149" s="8"/>
      <c r="E149" s="17"/>
      <c r="F149" s="17"/>
    </row>
    <row r="150" spans="1:6" x14ac:dyDescent="0.35">
      <c r="A150" s="8" t="s">
        <v>1143</v>
      </c>
      <c r="B150" s="4" t="s">
        <v>1214</v>
      </c>
      <c r="C150" s="8">
        <v>1500</v>
      </c>
      <c r="D150" s="8" t="s">
        <v>10</v>
      </c>
      <c r="E150" s="17">
        <f>'Working BOQ'!S66</f>
        <v>184.375</v>
      </c>
      <c r="F150" s="17">
        <f>E150*C150</f>
        <v>276562.5</v>
      </c>
    </row>
    <row r="151" spans="1:6" x14ac:dyDescent="0.35">
      <c r="A151" s="8"/>
      <c r="B151" s="4"/>
      <c r="C151" s="8"/>
      <c r="D151" s="8"/>
      <c r="E151" s="17"/>
      <c r="F151" s="17"/>
    </row>
    <row r="152" spans="1:6" x14ac:dyDescent="0.35">
      <c r="A152" s="8" t="s">
        <v>1144</v>
      </c>
      <c r="B152" s="4" t="s">
        <v>1215</v>
      </c>
      <c r="C152" s="8">
        <v>3720</v>
      </c>
      <c r="D152" s="8" t="s">
        <v>10</v>
      </c>
      <c r="E152" s="17">
        <f>'Working BOQ'!S67</f>
        <v>66.375</v>
      </c>
      <c r="F152" s="17">
        <f>E152*C152</f>
        <v>246915</v>
      </c>
    </row>
    <row r="153" spans="1:6" x14ac:dyDescent="0.35">
      <c r="A153" s="8"/>
      <c r="B153" s="4"/>
      <c r="C153" s="8"/>
      <c r="D153" s="8"/>
      <c r="E153" s="17"/>
      <c r="F153" s="17"/>
    </row>
    <row r="154" spans="1:6" x14ac:dyDescent="0.35">
      <c r="A154" s="8" t="s">
        <v>1145</v>
      </c>
      <c r="B154" s="4" t="s">
        <v>1216</v>
      </c>
      <c r="C154" s="8">
        <v>1560</v>
      </c>
      <c r="D154" s="8" t="s">
        <v>10</v>
      </c>
      <c r="E154" s="17">
        <f>'Working BOQ'!S68</f>
        <v>66.375</v>
      </c>
      <c r="F154" s="17">
        <f>E154*C154</f>
        <v>103545</v>
      </c>
    </row>
    <row r="155" spans="1:6" x14ac:dyDescent="0.35">
      <c r="A155" s="8"/>
      <c r="B155" s="4"/>
      <c r="C155" s="8"/>
      <c r="D155" s="8"/>
      <c r="E155" s="17"/>
      <c r="F155" s="17"/>
    </row>
    <row r="156" spans="1:6" x14ac:dyDescent="0.35">
      <c r="A156" s="8" t="s">
        <v>1136</v>
      </c>
      <c r="B156" s="4" t="s">
        <v>1217</v>
      </c>
      <c r="C156" s="8">
        <v>1000</v>
      </c>
      <c r="D156" s="8" t="s">
        <v>10</v>
      </c>
      <c r="E156" s="17">
        <f>'Working BOQ'!S69</f>
        <v>36.875</v>
      </c>
      <c r="F156" s="17">
        <f>E156*C156</f>
        <v>36875</v>
      </c>
    </row>
    <row r="157" spans="1:6" x14ac:dyDescent="0.35">
      <c r="A157" s="8"/>
      <c r="B157" s="4"/>
      <c r="C157" s="8"/>
      <c r="D157" s="8"/>
      <c r="E157" s="17"/>
      <c r="F157" s="17"/>
    </row>
    <row r="158" spans="1:6" x14ac:dyDescent="0.35">
      <c r="A158" s="12"/>
      <c r="B158" s="19" t="s">
        <v>1218</v>
      </c>
      <c r="C158" s="12"/>
      <c r="D158" s="12"/>
      <c r="E158" s="18"/>
      <c r="F158" s="18">
        <f>SUM(F138:F157)</f>
        <v>22501018.0625</v>
      </c>
    </row>
    <row r="159" spans="1:6" x14ac:dyDescent="0.35">
      <c r="A159" s="8"/>
      <c r="B159" s="4"/>
      <c r="C159" s="8"/>
      <c r="D159" s="8"/>
      <c r="E159" s="17"/>
      <c r="F159" s="17"/>
    </row>
    <row r="160" spans="1:6" x14ac:dyDescent="0.35">
      <c r="A160" s="8"/>
      <c r="B160" s="12" t="s">
        <v>1148</v>
      </c>
      <c r="C160" s="8"/>
      <c r="D160" s="8"/>
      <c r="E160" s="17"/>
      <c r="F160" s="17"/>
    </row>
    <row r="161" spans="1:6" x14ac:dyDescent="0.35">
      <c r="A161" s="8"/>
      <c r="B161" s="10"/>
      <c r="C161" s="8"/>
      <c r="D161" s="8"/>
      <c r="E161" s="17"/>
      <c r="F161" s="17"/>
    </row>
    <row r="162" spans="1:6" x14ac:dyDescent="0.35">
      <c r="A162" s="8"/>
      <c r="B162" s="10" t="s">
        <v>1220</v>
      </c>
      <c r="C162" s="8"/>
      <c r="D162" s="8"/>
      <c r="E162" s="17"/>
      <c r="F162" s="17"/>
    </row>
    <row r="163" spans="1:6" x14ac:dyDescent="0.35">
      <c r="A163" s="8"/>
      <c r="B163" s="10"/>
      <c r="C163" s="8"/>
      <c r="D163" s="8"/>
      <c r="E163" s="17"/>
      <c r="F163" s="17"/>
    </row>
    <row r="164" spans="1:6" x14ac:dyDescent="0.35">
      <c r="A164" s="8"/>
      <c r="B164" s="10" t="s">
        <v>1221</v>
      </c>
      <c r="C164" s="8"/>
      <c r="D164" s="8"/>
      <c r="E164" s="17"/>
      <c r="F164" s="17">
        <f>F158</f>
        <v>22501018.0625</v>
      </c>
    </row>
    <row r="165" spans="1:6" x14ac:dyDescent="0.35">
      <c r="A165" s="8"/>
      <c r="B165" s="10"/>
      <c r="C165" s="8"/>
      <c r="D165" s="8"/>
      <c r="E165" s="17"/>
      <c r="F165" s="17"/>
    </row>
    <row r="166" spans="1:6" x14ac:dyDescent="0.35">
      <c r="A166" s="12"/>
      <c r="B166" s="19" t="s">
        <v>1222</v>
      </c>
      <c r="C166" s="12"/>
      <c r="D166" s="12"/>
      <c r="E166" s="18"/>
      <c r="F166" s="18">
        <f>SUM(F160:F165)</f>
        <v>22501018.0625</v>
      </c>
    </row>
    <row r="167" spans="1:6" x14ac:dyDescent="0.35">
      <c r="A167" s="12"/>
      <c r="B167" s="19"/>
      <c r="C167" s="12"/>
      <c r="D167" s="12"/>
      <c r="E167" s="18"/>
      <c r="F167" s="18"/>
    </row>
    <row r="168" spans="1:6" x14ac:dyDescent="0.35">
      <c r="A168" s="12">
        <v>5</v>
      </c>
      <c r="B168" s="10" t="s">
        <v>1223</v>
      </c>
      <c r="C168" s="12"/>
      <c r="D168" s="12"/>
      <c r="E168" s="18"/>
      <c r="F168" s="18"/>
    </row>
    <row r="169" spans="1:6" x14ac:dyDescent="0.35">
      <c r="A169" s="8"/>
      <c r="B169" s="4"/>
      <c r="C169" s="8"/>
      <c r="D169" s="8"/>
      <c r="E169" s="17"/>
      <c r="F169" s="17"/>
    </row>
    <row r="170" spans="1:6" x14ac:dyDescent="0.35">
      <c r="A170" s="8" t="s">
        <v>1135</v>
      </c>
      <c r="B170" s="4" t="s">
        <v>1224</v>
      </c>
      <c r="C170" s="8">
        <v>20</v>
      </c>
      <c r="D170" s="8" t="s">
        <v>1200</v>
      </c>
      <c r="E170" s="17">
        <f>'Working BOQ'!S72</f>
        <v>8188.1347222222212</v>
      </c>
      <c r="F170" s="17">
        <f>E170*C170</f>
        <v>163762.69444444444</v>
      </c>
    </row>
    <row r="171" spans="1:6" x14ac:dyDescent="0.35">
      <c r="A171" s="8"/>
      <c r="B171" s="4"/>
      <c r="C171" s="8"/>
      <c r="D171" s="8"/>
      <c r="E171" s="17"/>
      <c r="F171" s="17"/>
    </row>
    <row r="172" spans="1:6" x14ac:dyDescent="0.35">
      <c r="A172" s="8" t="s">
        <v>1140</v>
      </c>
      <c r="B172" s="4" t="s">
        <v>1225</v>
      </c>
      <c r="C172" s="8">
        <v>10</v>
      </c>
      <c r="D172" s="8" t="s">
        <v>1200</v>
      </c>
      <c r="E172" s="17">
        <f>'Working BOQ'!S73</f>
        <v>12501.444444444443</v>
      </c>
      <c r="F172" s="17">
        <f>E172*C172</f>
        <v>125014.44444444444</v>
      </c>
    </row>
    <row r="173" spans="1:6" x14ac:dyDescent="0.35">
      <c r="A173" s="8"/>
      <c r="B173" s="4"/>
      <c r="C173" s="8"/>
      <c r="D173" s="8"/>
      <c r="E173" s="17"/>
      <c r="F173" s="17"/>
    </row>
    <row r="174" spans="1:6" x14ac:dyDescent="0.35">
      <c r="A174" s="8" t="s">
        <v>1141</v>
      </c>
      <c r="B174" s="4" t="s">
        <v>1226</v>
      </c>
      <c r="C174" s="8">
        <v>10</v>
      </c>
      <c r="D174" s="8" t="s">
        <v>1200</v>
      </c>
      <c r="E174" s="17">
        <f>'Working BOQ'!S74</f>
        <v>13316.463888888889</v>
      </c>
      <c r="F174" s="17">
        <f>E174*C174</f>
        <v>133164.63888888891</v>
      </c>
    </row>
    <row r="175" spans="1:6" x14ac:dyDescent="0.35">
      <c r="A175" s="8"/>
      <c r="B175" s="4"/>
      <c r="C175" s="8"/>
      <c r="D175" s="8"/>
      <c r="E175" s="17"/>
      <c r="F175" s="17"/>
    </row>
    <row r="176" spans="1:6" x14ac:dyDescent="0.35">
      <c r="A176" s="8" t="s">
        <v>1142</v>
      </c>
      <c r="B176" s="4" t="s">
        <v>1227</v>
      </c>
      <c r="C176" s="8">
        <v>5</v>
      </c>
      <c r="D176" s="8" t="s">
        <v>1200</v>
      </c>
      <c r="E176" s="17">
        <f>'Working BOQ'!S75</f>
        <v>8612.1972222222212</v>
      </c>
      <c r="F176" s="17">
        <f>E176*C176</f>
        <v>43060.986111111109</v>
      </c>
    </row>
    <row r="177" spans="1:6" x14ac:dyDescent="0.35">
      <c r="A177" s="8"/>
      <c r="B177" s="4"/>
      <c r="C177" s="8"/>
      <c r="D177" s="8"/>
      <c r="E177" s="17"/>
      <c r="F177" s="17"/>
    </row>
    <row r="178" spans="1:6" x14ac:dyDescent="0.35">
      <c r="A178" s="8" t="s">
        <v>1139</v>
      </c>
      <c r="B178" s="4" t="s">
        <v>1228</v>
      </c>
      <c r="C178" s="8">
        <v>10</v>
      </c>
      <c r="D178" s="8" t="s">
        <v>1200</v>
      </c>
      <c r="E178" s="17">
        <f>'Working BOQ'!S76</f>
        <v>7882.0722222222212</v>
      </c>
      <c r="F178" s="17">
        <f>E178*C178</f>
        <v>78820.722222222219</v>
      </c>
    </row>
    <row r="179" spans="1:6" x14ac:dyDescent="0.35">
      <c r="A179" s="8"/>
      <c r="B179" s="4"/>
      <c r="C179" s="8"/>
      <c r="D179" s="8"/>
      <c r="E179" s="17"/>
      <c r="F179" s="17"/>
    </row>
    <row r="180" spans="1:6" x14ac:dyDescent="0.35">
      <c r="A180" s="8" t="s">
        <v>1143</v>
      </c>
      <c r="B180" s="4" t="s">
        <v>1252</v>
      </c>
      <c r="C180" s="8">
        <v>160</v>
      </c>
      <c r="D180" s="8" t="s">
        <v>10</v>
      </c>
      <c r="E180" s="17">
        <f>'Working BOQ'!S77</f>
        <v>3277.1119791666661</v>
      </c>
      <c r="F180" s="17">
        <f>E180*C180</f>
        <v>524337.91666666651</v>
      </c>
    </row>
    <row r="181" spans="1:6" x14ac:dyDescent="0.35">
      <c r="A181" s="8"/>
      <c r="B181" s="4"/>
      <c r="C181" s="8"/>
      <c r="D181" s="8"/>
      <c r="E181" s="17"/>
      <c r="F181" s="17"/>
    </row>
    <row r="182" spans="1:6" x14ac:dyDescent="0.35">
      <c r="A182" s="8" t="s">
        <v>1144</v>
      </c>
      <c r="B182" s="4" t="s">
        <v>1253</v>
      </c>
      <c r="C182" s="8">
        <v>80</v>
      </c>
      <c r="D182" s="8" t="s">
        <v>10</v>
      </c>
      <c r="E182" s="17">
        <f>'Working BOQ'!S78</f>
        <v>4967.1239583333336</v>
      </c>
      <c r="F182" s="17">
        <f>E182*C182</f>
        <v>397369.91666666669</v>
      </c>
    </row>
    <row r="183" spans="1:6" x14ac:dyDescent="0.35">
      <c r="A183" s="8"/>
      <c r="B183" s="4"/>
      <c r="C183" s="8"/>
      <c r="D183" s="8"/>
      <c r="E183" s="17"/>
      <c r="F183" s="17"/>
    </row>
    <row r="184" spans="1:6" x14ac:dyDescent="0.35">
      <c r="A184" s="8" t="s">
        <v>1145</v>
      </c>
      <c r="B184" s="4" t="s">
        <v>1230</v>
      </c>
      <c r="C184" s="8">
        <v>300</v>
      </c>
      <c r="D184" s="8" t="s">
        <v>1200</v>
      </c>
      <c r="E184" s="17">
        <f>'Working BOQ'!S79</f>
        <v>16311.400173611111</v>
      </c>
      <c r="F184" s="17">
        <f>E184*C184</f>
        <v>4893420.052083333</v>
      </c>
    </row>
    <row r="185" spans="1:6" x14ac:dyDescent="0.35">
      <c r="A185" s="8"/>
      <c r="B185" s="4"/>
      <c r="C185" s="8"/>
      <c r="D185" s="8"/>
      <c r="E185" s="17"/>
      <c r="F185" s="17"/>
    </row>
    <row r="186" spans="1:6" x14ac:dyDescent="0.35">
      <c r="A186" s="8" t="s">
        <v>1136</v>
      </c>
      <c r="B186" s="4" t="s">
        <v>1231</v>
      </c>
      <c r="C186" s="8">
        <v>15</v>
      </c>
      <c r="D186" s="8" t="s">
        <v>1200</v>
      </c>
      <c r="E186" s="17">
        <f>'Working BOQ'!S80</f>
        <v>15020.560069444444</v>
      </c>
      <c r="F186" s="17">
        <f>E186*C186</f>
        <v>225308.40104166666</v>
      </c>
    </row>
    <row r="187" spans="1:6" x14ac:dyDescent="0.35">
      <c r="A187" s="8"/>
      <c r="B187" s="4"/>
      <c r="C187" s="8"/>
      <c r="D187" s="8"/>
      <c r="E187" s="17"/>
      <c r="F187" s="17"/>
    </row>
    <row r="188" spans="1:6" x14ac:dyDescent="0.35">
      <c r="A188" s="8" t="s">
        <v>1170</v>
      </c>
      <c r="B188" s="4" t="s">
        <v>1232</v>
      </c>
      <c r="C188" s="8">
        <v>10</v>
      </c>
      <c r="D188" s="8" t="s">
        <v>1200</v>
      </c>
      <c r="E188" s="17">
        <f>'Working BOQ'!S81</f>
        <v>18989.575086805558</v>
      </c>
      <c r="F188" s="17">
        <f>E188*C188</f>
        <v>189895.75086805559</v>
      </c>
    </row>
    <row r="189" spans="1:6" x14ac:dyDescent="0.35">
      <c r="A189" s="8"/>
      <c r="B189" s="4"/>
      <c r="C189" s="8"/>
      <c r="D189" s="8"/>
      <c r="E189" s="17"/>
      <c r="F189" s="17"/>
    </row>
    <row r="190" spans="1:6" x14ac:dyDescent="0.35">
      <c r="A190" s="8" t="s">
        <v>1137</v>
      </c>
      <c r="B190" s="4" t="s">
        <v>1254</v>
      </c>
      <c r="C190" s="8">
        <v>100</v>
      </c>
      <c r="D190" s="8" t="s">
        <v>1200</v>
      </c>
      <c r="E190" s="17">
        <f>'Working BOQ'!S82</f>
        <v>38260.834201388891</v>
      </c>
      <c r="F190" s="17">
        <f>E190*C190</f>
        <v>3826083.420138889</v>
      </c>
    </row>
    <row r="191" spans="1:6" x14ac:dyDescent="0.35">
      <c r="A191" s="8"/>
      <c r="B191" s="4"/>
      <c r="C191" s="8"/>
      <c r="D191" s="8"/>
      <c r="E191" s="17"/>
      <c r="F191" s="17"/>
    </row>
    <row r="192" spans="1:6" x14ac:dyDescent="0.35">
      <c r="A192" s="12"/>
      <c r="B192" s="19" t="s">
        <v>1233</v>
      </c>
      <c r="C192" s="12"/>
      <c r="D192" s="12"/>
      <c r="E192" s="18"/>
      <c r="F192" s="18">
        <f>SUM(F168:F191)</f>
        <v>10600238.943576388</v>
      </c>
    </row>
    <row r="193" spans="1:6" x14ac:dyDescent="0.35">
      <c r="A193" s="8"/>
      <c r="B193" s="4"/>
      <c r="C193" s="8"/>
      <c r="D193" s="8"/>
      <c r="E193" s="17"/>
      <c r="F193" s="17"/>
    </row>
    <row r="194" spans="1:6" x14ac:dyDescent="0.35">
      <c r="A194" s="8"/>
      <c r="B194" s="12" t="s">
        <v>1148</v>
      </c>
      <c r="C194" s="8"/>
      <c r="D194" s="8"/>
      <c r="E194" s="17"/>
      <c r="F194" s="17"/>
    </row>
    <row r="195" spans="1:6" x14ac:dyDescent="0.35">
      <c r="A195" s="8"/>
      <c r="B195" s="10"/>
      <c r="C195" s="8"/>
      <c r="D195" s="8"/>
      <c r="E195" s="17"/>
      <c r="F195" s="17"/>
    </row>
    <row r="196" spans="1:6" x14ac:dyDescent="0.35">
      <c r="A196" s="8"/>
      <c r="B196" s="10" t="s">
        <v>1234</v>
      </c>
      <c r="C196" s="8"/>
      <c r="D196" s="8"/>
      <c r="E196" s="17"/>
      <c r="F196" s="17"/>
    </row>
    <row r="197" spans="1:6" x14ac:dyDescent="0.35">
      <c r="A197" s="8"/>
      <c r="B197" s="10"/>
      <c r="C197" s="8"/>
      <c r="D197" s="8"/>
      <c r="E197" s="17"/>
      <c r="F197" s="17"/>
    </row>
    <row r="198" spans="1:6" x14ac:dyDescent="0.35">
      <c r="A198" s="8"/>
      <c r="B198" s="10" t="s">
        <v>1235</v>
      </c>
      <c r="C198" s="8"/>
      <c r="D198" s="8"/>
      <c r="E198" s="17"/>
      <c r="F198" s="17">
        <f>F192</f>
        <v>10600238.943576388</v>
      </c>
    </row>
    <row r="199" spans="1:6" x14ac:dyDescent="0.35">
      <c r="A199" s="8"/>
      <c r="B199" s="10"/>
      <c r="C199" s="8"/>
      <c r="D199" s="8"/>
      <c r="E199" s="17"/>
      <c r="F199" s="17"/>
    </row>
    <row r="200" spans="1:6" x14ac:dyDescent="0.35">
      <c r="A200" s="12"/>
      <c r="B200" s="19" t="s">
        <v>1236</v>
      </c>
      <c r="C200" s="12"/>
      <c r="D200" s="12"/>
      <c r="E200" s="18"/>
      <c r="F200" s="18">
        <f>SUM(F194:F199)</f>
        <v>10600238.943576388</v>
      </c>
    </row>
    <row r="201" spans="1:6" x14ac:dyDescent="0.35">
      <c r="A201" s="12"/>
      <c r="B201" s="19"/>
      <c r="C201" s="12"/>
      <c r="D201" s="12"/>
      <c r="E201" s="18"/>
      <c r="F201" s="18"/>
    </row>
    <row r="202" spans="1:6" x14ac:dyDescent="0.35">
      <c r="A202" s="12">
        <v>6</v>
      </c>
      <c r="B202" s="10" t="s">
        <v>1237</v>
      </c>
      <c r="C202" s="12"/>
      <c r="D202" s="12"/>
      <c r="E202" s="18"/>
      <c r="F202" s="18"/>
    </row>
    <row r="203" spans="1:6" x14ac:dyDescent="0.35">
      <c r="A203" s="8"/>
      <c r="B203" s="4"/>
      <c r="C203" s="8"/>
      <c r="D203" s="8"/>
      <c r="E203" s="17"/>
      <c r="F203" s="17"/>
    </row>
    <row r="204" spans="1:6" x14ac:dyDescent="0.35">
      <c r="A204" s="8" t="s">
        <v>1135</v>
      </c>
      <c r="B204" s="4" t="s">
        <v>1238</v>
      </c>
      <c r="C204" s="8">
        <v>1</v>
      </c>
      <c r="D204" s="8" t="s">
        <v>1147</v>
      </c>
      <c r="E204" s="17">
        <f>'Working BOQ'!S85</f>
        <v>147500</v>
      </c>
      <c r="F204" s="17">
        <f>E204*C204</f>
        <v>147500</v>
      </c>
    </row>
    <row r="205" spans="1:6" x14ac:dyDescent="0.35">
      <c r="A205" s="8"/>
      <c r="B205" s="4"/>
      <c r="C205" s="8"/>
      <c r="D205" s="8"/>
      <c r="E205" s="17"/>
      <c r="F205" s="17"/>
    </row>
    <row r="206" spans="1:6" x14ac:dyDescent="0.35">
      <c r="A206" s="8" t="s">
        <v>1140</v>
      </c>
      <c r="B206" s="4" t="s">
        <v>1239</v>
      </c>
      <c r="C206" s="8">
        <v>1</v>
      </c>
      <c r="D206" s="8" t="s">
        <v>1147</v>
      </c>
      <c r="E206" s="17">
        <f>'Working BOQ'!S86</f>
        <v>147500</v>
      </c>
      <c r="F206" s="17">
        <f>E206*C206</f>
        <v>147500</v>
      </c>
    </row>
    <row r="207" spans="1:6" x14ac:dyDescent="0.35">
      <c r="A207" s="8"/>
      <c r="B207" s="4"/>
      <c r="C207" s="8"/>
      <c r="D207" s="8"/>
      <c r="E207" s="17"/>
      <c r="F207" s="17"/>
    </row>
    <row r="208" spans="1:6" x14ac:dyDescent="0.35">
      <c r="A208" s="8" t="s">
        <v>1141</v>
      </c>
      <c r="B208" s="4" t="s">
        <v>1240</v>
      </c>
      <c r="C208" s="8">
        <v>1</v>
      </c>
      <c r="D208" s="8" t="s">
        <v>1147</v>
      </c>
      <c r="E208" s="17">
        <f>'Working BOQ'!S87</f>
        <v>147500</v>
      </c>
      <c r="F208" s="17">
        <f>E208*C208</f>
        <v>147500</v>
      </c>
    </row>
    <row r="209" spans="1:6" x14ac:dyDescent="0.35">
      <c r="A209" s="8"/>
      <c r="B209" s="4"/>
      <c r="C209" s="8"/>
      <c r="D209" s="8"/>
      <c r="E209" s="17"/>
      <c r="F209" s="17"/>
    </row>
    <row r="210" spans="1:6" x14ac:dyDescent="0.35">
      <c r="A210" s="8" t="s">
        <v>1142</v>
      </c>
      <c r="B210" s="4" t="s">
        <v>1241</v>
      </c>
      <c r="C210" s="8">
        <v>1</v>
      </c>
      <c r="D210" s="8" t="s">
        <v>1147</v>
      </c>
      <c r="E210" s="17">
        <f>'Working BOQ'!S88</f>
        <v>147500</v>
      </c>
      <c r="F210" s="17">
        <f>E210*C210</f>
        <v>147500</v>
      </c>
    </row>
    <row r="211" spans="1:6" x14ac:dyDescent="0.35">
      <c r="A211" s="8"/>
      <c r="B211" s="4"/>
      <c r="C211" s="8"/>
      <c r="D211" s="8"/>
      <c r="E211" s="17"/>
      <c r="F211" s="17"/>
    </row>
    <row r="212" spans="1:6" x14ac:dyDescent="0.35">
      <c r="A212" s="8" t="s">
        <v>1139</v>
      </c>
      <c r="B212" s="4" t="s">
        <v>1242</v>
      </c>
      <c r="C212" s="8">
        <v>1</v>
      </c>
      <c r="D212" s="8" t="s">
        <v>1147</v>
      </c>
      <c r="E212" s="17">
        <f>'Working BOQ'!S89</f>
        <v>147500</v>
      </c>
      <c r="F212" s="17">
        <f>E212*C212</f>
        <v>147500</v>
      </c>
    </row>
    <row r="213" spans="1:6" x14ac:dyDescent="0.35">
      <c r="A213" s="8"/>
      <c r="B213" s="4"/>
      <c r="C213" s="8"/>
      <c r="D213" s="8"/>
      <c r="E213" s="17"/>
      <c r="F213" s="17"/>
    </row>
    <row r="214" spans="1:6" x14ac:dyDescent="0.35">
      <c r="A214" s="8" t="s">
        <v>1143</v>
      </c>
      <c r="B214" s="4" t="s">
        <v>1243</v>
      </c>
      <c r="C214" s="8">
        <v>1</v>
      </c>
      <c r="D214" s="8" t="s">
        <v>1147</v>
      </c>
      <c r="E214" s="17">
        <f>'Working BOQ'!S90</f>
        <v>147500</v>
      </c>
      <c r="F214" s="17">
        <f>E214*C214</f>
        <v>147500</v>
      </c>
    </row>
    <row r="215" spans="1:6" x14ac:dyDescent="0.35">
      <c r="A215" s="8"/>
      <c r="B215" s="4"/>
      <c r="C215" s="8"/>
      <c r="D215" s="8"/>
      <c r="E215" s="17"/>
      <c r="F215" s="17"/>
    </row>
    <row r="216" spans="1:6" x14ac:dyDescent="0.35">
      <c r="A216" s="8" t="s">
        <v>1144</v>
      </c>
      <c r="B216" s="4" t="s">
        <v>1244</v>
      </c>
      <c r="C216" s="8">
        <v>1</v>
      </c>
      <c r="D216" s="8" t="s">
        <v>1147</v>
      </c>
      <c r="E216" s="17">
        <f>'Working BOQ'!S91</f>
        <v>147500</v>
      </c>
      <c r="F216" s="17">
        <f>E216*C216</f>
        <v>147500</v>
      </c>
    </row>
    <row r="217" spans="1:6" x14ac:dyDescent="0.35">
      <c r="A217" s="8"/>
      <c r="B217" s="4"/>
      <c r="C217" s="8"/>
      <c r="D217" s="8"/>
      <c r="E217" s="17"/>
      <c r="F217" s="17"/>
    </row>
    <row r="218" spans="1:6" x14ac:dyDescent="0.35">
      <c r="A218" s="12"/>
      <c r="B218" s="19" t="s">
        <v>1245</v>
      </c>
      <c r="C218" s="12"/>
      <c r="D218" s="12"/>
      <c r="E218" s="18"/>
      <c r="F218" s="18">
        <f>SUM(F202:F217)</f>
        <v>1032500</v>
      </c>
    </row>
    <row r="219" spans="1:6" x14ac:dyDescent="0.35">
      <c r="A219" s="8"/>
      <c r="B219" s="4"/>
      <c r="C219" s="8"/>
      <c r="D219" s="8"/>
      <c r="E219" s="17"/>
      <c r="F219" s="17"/>
    </row>
    <row r="220" spans="1:6" x14ac:dyDescent="0.35">
      <c r="A220" s="8"/>
      <c r="B220" s="12" t="s">
        <v>1148</v>
      </c>
      <c r="C220" s="8"/>
      <c r="D220" s="8"/>
      <c r="E220" s="17"/>
      <c r="F220" s="17"/>
    </row>
    <row r="221" spans="1:6" x14ac:dyDescent="0.35">
      <c r="A221" s="8"/>
      <c r="B221" s="10"/>
      <c r="C221" s="8"/>
      <c r="D221" s="8"/>
      <c r="E221" s="17"/>
      <c r="F221" s="17"/>
    </row>
    <row r="222" spans="1:6" x14ac:dyDescent="0.35">
      <c r="A222" s="8"/>
      <c r="B222" s="10" t="s">
        <v>1246</v>
      </c>
      <c r="C222" s="8"/>
      <c r="D222" s="8"/>
      <c r="E222" s="17"/>
      <c r="F222" s="17"/>
    </row>
    <row r="223" spans="1:6" x14ac:dyDescent="0.35">
      <c r="A223" s="8"/>
      <c r="B223" s="10"/>
      <c r="C223" s="8"/>
      <c r="D223" s="8"/>
      <c r="E223" s="17"/>
      <c r="F223" s="17"/>
    </row>
    <row r="224" spans="1:6" x14ac:dyDescent="0.35">
      <c r="A224" s="8"/>
      <c r="B224" s="10" t="s">
        <v>1248</v>
      </c>
      <c r="C224" s="8"/>
      <c r="D224" s="8"/>
      <c r="E224" s="17"/>
      <c r="F224" s="17">
        <f>F218</f>
        <v>1032500</v>
      </c>
    </row>
    <row r="225" spans="1:6" x14ac:dyDescent="0.35">
      <c r="A225" s="8"/>
      <c r="B225" s="10"/>
      <c r="C225" s="8"/>
      <c r="D225" s="8"/>
      <c r="E225" s="17"/>
      <c r="F225" s="17"/>
    </row>
    <row r="226" spans="1:6" x14ac:dyDescent="0.35">
      <c r="A226" s="12"/>
      <c r="B226" s="19" t="s">
        <v>1247</v>
      </c>
      <c r="C226" s="12"/>
      <c r="D226" s="12"/>
      <c r="E226" s="18"/>
      <c r="F226" s="18">
        <f>SUM(F220:F225)</f>
        <v>1032500</v>
      </c>
    </row>
    <row r="227" spans="1:6" x14ac:dyDescent="0.35">
      <c r="A227" s="12"/>
      <c r="B227" s="19"/>
      <c r="C227" s="12"/>
      <c r="D227" s="12"/>
      <c r="E227" s="18"/>
      <c r="F227" s="18"/>
    </row>
    <row r="228" spans="1:6" x14ac:dyDescent="0.35">
      <c r="A228" s="12">
        <v>7</v>
      </c>
      <c r="B228" s="10" t="s">
        <v>1256</v>
      </c>
      <c r="C228" s="12"/>
      <c r="D228" s="12"/>
      <c r="E228" s="18"/>
      <c r="F228" s="18"/>
    </row>
    <row r="229" spans="1:6" x14ac:dyDescent="0.35">
      <c r="A229" s="8"/>
      <c r="B229" s="4"/>
      <c r="C229" s="8"/>
      <c r="D229" s="8"/>
      <c r="E229" s="17"/>
      <c r="F229" s="17"/>
    </row>
    <row r="230" spans="1:6" x14ac:dyDescent="0.35">
      <c r="A230" s="8" t="s">
        <v>1376</v>
      </c>
      <c r="B230" s="4" t="s">
        <v>1187</v>
      </c>
      <c r="C230" s="8">
        <v>500</v>
      </c>
      <c r="D230" s="8" t="s">
        <v>12</v>
      </c>
      <c r="E230" s="17">
        <f>'Working BOQ'!S44</f>
        <v>3503.125</v>
      </c>
      <c r="F230" s="17">
        <f>E230*C230</f>
        <v>1751562.5</v>
      </c>
    </row>
    <row r="231" spans="1:6" x14ac:dyDescent="0.35">
      <c r="A231" s="8"/>
      <c r="B231" s="4"/>
      <c r="C231" s="8"/>
      <c r="D231" s="8"/>
      <c r="E231" s="17"/>
      <c r="F231" s="17"/>
    </row>
    <row r="232" spans="1:6" x14ac:dyDescent="0.35">
      <c r="A232" s="8" t="s">
        <v>1381</v>
      </c>
      <c r="B232" s="4" t="s">
        <v>1191</v>
      </c>
      <c r="C232" s="8">
        <v>400</v>
      </c>
      <c r="D232" s="8" t="s">
        <v>10</v>
      </c>
      <c r="E232" s="17">
        <f>'Working BOQ'!S48</f>
        <v>265.5</v>
      </c>
      <c r="F232" s="17">
        <f>E232*C232</f>
        <v>106200</v>
      </c>
    </row>
    <row r="233" spans="1:6" x14ac:dyDescent="0.35">
      <c r="A233" s="8"/>
      <c r="B233" s="4"/>
      <c r="C233" s="8"/>
      <c r="D233" s="8"/>
      <c r="E233" s="17"/>
      <c r="F233" s="17"/>
    </row>
    <row r="234" spans="1:6" x14ac:dyDescent="0.35">
      <c r="A234" s="8" t="s">
        <v>1390</v>
      </c>
      <c r="B234" s="4" t="s">
        <v>1211</v>
      </c>
      <c r="C234" s="8">
        <v>380</v>
      </c>
      <c r="D234" s="8" t="s">
        <v>10</v>
      </c>
      <c r="E234" s="17">
        <f>'Working BOQ'!S57</f>
        <v>27044.125</v>
      </c>
      <c r="F234" s="17">
        <f>E234*C234</f>
        <v>10276767.5</v>
      </c>
    </row>
    <row r="235" spans="1:6" x14ac:dyDescent="0.35">
      <c r="A235" s="8"/>
      <c r="B235" s="4"/>
      <c r="C235" s="8"/>
      <c r="D235" s="8"/>
      <c r="E235" s="17"/>
      <c r="F235" s="17"/>
    </row>
    <row r="236" spans="1:6" x14ac:dyDescent="0.35">
      <c r="A236" s="8" t="s">
        <v>1400</v>
      </c>
      <c r="B236" s="4" t="s">
        <v>1217</v>
      </c>
      <c r="C236" s="8">
        <v>-100</v>
      </c>
      <c r="D236" s="8" t="s">
        <v>10</v>
      </c>
      <c r="E236" s="17">
        <f>'Working BOQ'!S69</f>
        <v>36.875</v>
      </c>
      <c r="F236" s="17">
        <f>E236*C236</f>
        <v>-3687.5</v>
      </c>
    </row>
    <row r="237" spans="1:6" x14ac:dyDescent="0.35">
      <c r="A237" s="8"/>
      <c r="B237" s="4"/>
      <c r="C237" s="8"/>
      <c r="D237" s="8"/>
      <c r="E237" s="17"/>
      <c r="F237" s="17"/>
    </row>
    <row r="238" spans="1:6" x14ac:dyDescent="0.35">
      <c r="A238" s="8" t="s">
        <v>1402</v>
      </c>
      <c r="B238" s="4" t="s">
        <v>1225</v>
      </c>
      <c r="C238" s="8">
        <v>10</v>
      </c>
      <c r="D238" s="8" t="s">
        <v>1200</v>
      </c>
      <c r="E238" s="17">
        <f>'Working BOQ'!S73</f>
        <v>12501.444444444443</v>
      </c>
      <c r="F238" s="17">
        <f>E238*C238</f>
        <v>125014.44444444444</v>
      </c>
    </row>
    <row r="239" spans="1:6" x14ac:dyDescent="0.35">
      <c r="A239" s="8"/>
      <c r="B239" s="4"/>
      <c r="C239" s="8"/>
      <c r="D239" s="8"/>
      <c r="E239" s="17"/>
      <c r="F239" s="17"/>
    </row>
    <row r="240" spans="1:6" x14ac:dyDescent="0.35">
      <c r="A240" s="8" t="s">
        <v>1403</v>
      </c>
      <c r="B240" s="4" t="s">
        <v>1226</v>
      </c>
      <c r="C240" s="8">
        <v>-5</v>
      </c>
      <c r="D240" s="8" t="s">
        <v>1200</v>
      </c>
      <c r="E240" s="17">
        <f>'Working BOQ'!S74</f>
        <v>13316.463888888889</v>
      </c>
      <c r="F240" s="17">
        <f>E240*C240</f>
        <v>-66582.319444444453</v>
      </c>
    </row>
    <row r="241" spans="1:6" x14ac:dyDescent="0.35">
      <c r="A241" s="8"/>
      <c r="B241" s="4"/>
      <c r="C241" s="8"/>
      <c r="D241" s="8"/>
      <c r="E241" s="17"/>
      <c r="F241" s="17"/>
    </row>
    <row r="242" spans="1:6" x14ac:dyDescent="0.35">
      <c r="A242" s="8" t="s">
        <v>1410</v>
      </c>
      <c r="B242" s="4" t="s">
        <v>1232</v>
      </c>
      <c r="C242" s="8">
        <v>5</v>
      </c>
      <c r="D242" s="8" t="s">
        <v>1200</v>
      </c>
      <c r="E242" s="17">
        <f>'Working BOQ'!S81</f>
        <v>18989.575086805558</v>
      </c>
      <c r="F242" s="17">
        <f>E242*C242</f>
        <v>94947.875434027796</v>
      </c>
    </row>
    <row r="243" spans="1:6" x14ac:dyDescent="0.35">
      <c r="A243" s="8"/>
      <c r="B243" s="4"/>
      <c r="C243" s="8"/>
      <c r="D243" s="8"/>
      <c r="E243" s="17"/>
      <c r="F243" s="17"/>
    </row>
    <row r="244" spans="1:6" x14ac:dyDescent="0.35">
      <c r="A244" s="12"/>
      <c r="B244" s="19" t="s">
        <v>1257</v>
      </c>
      <c r="C244" s="12"/>
      <c r="D244" s="12"/>
      <c r="E244" s="18"/>
      <c r="F244" s="18">
        <f>SUM(F228:F243)</f>
        <v>12284222.500434028</v>
      </c>
    </row>
    <row r="245" spans="1:6" x14ac:dyDescent="0.35">
      <c r="A245" s="8"/>
      <c r="B245" s="4"/>
      <c r="C245" s="8"/>
      <c r="D245" s="8"/>
      <c r="E245" s="17"/>
      <c r="F245" s="17"/>
    </row>
    <row r="246" spans="1:6" x14ac:dyDescent="0.35">
      <c r="A246" s="8"/>
      <c r="B246" s="12" t="s">
        <v>1148</v>
      </c>
      <c r="C246" s="8"/>
      <c r="D246" s="8"/>
      <c r="E246" s="17"/>
      <c r="F246" s="17"/>
    </row>
    <row r="247" spans="1:6" x14ac:dyDescent="0.35">
      <c r="A247" s="8"/>
      <c r="B247" s="10"/>
      <c r="C247" s="8"/>
      <c r="D247" s="8"/>
      <c r="E247" s="17"/>
      <c r="F247" s="17"/>
    </row>
    <row r="248" spans="1:6" x14ac:dyDescent="0.35">
      <c r="A248" s="8"/>
      <c r="B248" s="10" t="s">
        <v>1255</v>
      </c>
      <c r="C248" s="8"/>
      <c r="D248" s="8"/>
      <c r="E248" s="17"/>
      <c r="F248" s="17"/>
    </row>
    <row r="249" spans="1:6" x14ac:dyDescent="0.35">
      <c r="A249" s="8"/>
      <c r="B249" s="10"/>
      <c r="C249" s="8"/>
      <c r="D249" s="8"/>
      <c r="E249" s="17"/>
      <c r="F249" s="17"/>
    </row>
    <row r="250" spans="1:6" x14ac:dyDescent="0.35">
      <c r="A250" s="8"/>
      <c r="B250" s="10" t="s">
        <v>1258</v>
      </c>
      <c r="C250" s="8"/>
      <c r="D250" s="8"/>
      <c r="E250" s="17"/>
      <c r="F250" s="17">
        <f>F244</f>
        <v>12284222.500434028</v>
      </c>
    </row>
    <row r="251" spans="1:6" x14ac:dyDescent="0.35">
      <c r="A251" s="8"/>
      <c r="B251" s="10"/>
      <c r="C251" s="8"/>
      <c r="D251" s="8"/>
      <c r="E251" s="17"/>
      <c r="F251" s="17"/>
    </row>
    <row r="252" spans="1:6" x14ac:dyDescent="0.35">
      <c r="A252" s="12"/>
      <c r="B252" s="19" t="s">
        <v>1259</v>
      </c>
      <c r="C252" s="12"/>
      <c r="D252" s="12"/>
      <c r="E252" s="18"/>
      <c r="F252" s="18">
        <f>SUM(F246:F251)</f>
        <v>12284222.500434028</v>
      </c>
    </row>
    <row r="253" spans="1:6" x14ac:dyDescent="0.35">
      <c r="A253" s="8"/>
      <c r="B253" s="4"/>
      <c r="C253" s="8"/>
      <c r="D253" s="8"/>
      <c r="E253" s="17"/>
      <c r="F253" s="17"/>
    </row>
    <row r="254" spans="1:6" x14ac:dyDescent="0.35">
      <c r="A254" s="8"/>
      <c r="B254" s="12" t="s">
        <v>1249</v>
      </c>
      <c r="C254" s="8"/>
      <c r="D254" s="8"/>
      <c r="E254" s="17"/>
      <c r="F254" s="17"/>
    </row>
    <row r="255" spans="1:6" x14ac:dyDescent="0.35">
      <c r="A255" s="8"/>
      <c r="B255" s="10"/>
      <c r="C255" s="8"/>
      <c r="D255" s="8"/>
      <c r="E255" s="17"/>
      <c r="F255" s="17"/>
    </row>
    <row r="256" spans="1:6" x14ac:dyDescent="0.35">
      <c r="A256" s="8"/>
      <c r="B256" s="10" t="s">
        <v>1149</v>
      </c>
      <c r="C256" s="8"/>
      <c r="D256" s="8"/>
      <c r="E256" s="17"/>
      <c r="F256" s="17">
        <f>F32</f>
        <v>1327500</v>
      </c>
    </row>
    <row r="257" spans="1:8" x14ac:dyDescent="0.35">
      <c r="A257" s="8"/>
      <c r="B257" s="10"/>
      <c r="C257" s="8"/>
      <c r="D257" s="8"/>
      <c r="E257" s="17"/>
      <c r="F257" s="17"/>
    </row>
    <row r="258" spans="1:8" x14ac:dyDescent="0.35">
      <c r="A258" s="8"/>
      <c r="B258" s="10" t="s">
        <v>1181</v>
      </c>
      <c r="C258" s="8"/>
      <c r="D258" s="8"/>
      <c r="E258" s="17"/>
      <c r="F258" s="17">
        <f>F86</f>
        <v>34894.8125</v>
      </c>
    </row>
    <row r="259" spans="1:8" x14ac:dyDescent="0.35">
      <c r="A259" s="8"/>
      <c r="B259" s="10"/>
      <c r="C259" s="8"/>
      <c r="D259" s="8"/>
      <c r="E259" s="17"/>
      <c r="F259" s="17"/>
    </row>
    <row r="260" spans="1:8" x14ac:dyDescent="0.35">
      <c r="A260" s="8"/>
      <c r="B260" s="10" t="s">
        <v>1205</v>
      </c>
      <c r="C260" s="8"/>
      <c r="D260" s="8"/>
      <c r="E260" s="17"/>
      <c r="F260" s="17">
        <f>F136</f>
        <v>53045922.8125</v>
      </c>
      <c r="H260" s="64"/>
    </row>
    <row r="261" spans="1:8" x14ac:dyDescent="0.35">
      <c r="A261" s="8"/>
      <c r="B261" s="10"/>
      <c r="C261" s="8"/>
      <c r="D261" s="8"/>
      <c r="E261" s="17"/>
      <c r="F261" s="17"/>
    </row>
    <row r="262" spans="1:8" x14ac:dyDescent="0.35">
      <c r="A262" s="8"/>
      <c r="B262" s="10" t="s">
        <v>1220</v>
      </c>
      <c r="C262" s="8"/>
      <c r="D262" s="8"/>
      <c r="E262" s="17"/>
      <c r="F262" s="17">
        <f>F166</f>
        <v>22501018.0625</v>
      </c>
    </row>
    <row r="263" spans="1:8" x14ac:dyDescent="0.35">
      <c r="A263" s="8"/>
      <c r="B263" s="10"/>
      <c r="C263" s="8"/>
      <c r="D263" s="8"/>
      <c r="E263" s="17"/>
      <c r="F263" s="17"/>
    </row>
    <row r="264" spans="1:8" x14ac:dyDescent="0.35">
      <c r="A264" s="8"/>
      <c r="B264" s="10" t="s">
        <v>1234</v>
      </c>
      <c r="C264" s="8"/>
      <c r="D264" s="8"/>
      <c r="E264" s="17"/>
      <c r="F264" s="17">
        <f>F192</f>
        <v>10600238.943576388</v>
      </c>
    </row>
    <row r="265" spans="1:8" x14ac:dyDescent="0.35">
      <c r="A265" s="8"/>
      <c r="B265" s="10"/>
      <c r="C265" s="8"/>
      <c r="D265" s="8"/>
      <c r="E265" s="17"/>
      <c r="F265" s="17"/>
    </row>
    <row r="266" spans="1:8" x14ac:dyDescent="0.35">
      <c r="A266" s="8"/>
      <c r="B266" s="10" t="s">
        <v>1246</v>
      </c>
      <c r="C266" s="8"/>
      <c r="D266" s="8"/>
      <c r="E266" s="17"/>
      <c r="F266" s="17">
        <f>F226</f>
        <v>1032500</v>
      </c>
    </row>
    <row r="267" spans="1:8" x14ac:dyDescent="0.35">
      <c r="A267" s="8"/>
      <c r="B267" s="10"/>
      <c r="C267" s="8"/>
      <c r="D267" s="8"/>
      <c r="E267" s="17"/>
      <c r="F267" s="17"/>
    </row>
    <row r="268" spans="1:8" x14ac:dyDescent="0.35">
      <c r="A268" s="8"/>
      <c r="B268" s="10" t="s">
        <v>1255</v>
      </c>
      <c r="C268" s="8"/>
      <c r="D268" s="8"/>
      <c r="E268" s="17"/>
      <c r="F268" s="17">
        <f>F252</f>
        <v>12284222.500434028</v>
      </c>
    </row>
    <row r="269" spans="1:8" x14ac:dyDescent="0.35">
      <c r="A269" s="8"/>
      <c r="B269" s="10"/>
      <c r="C269" s="8"/>
      <c r="D269" s="8"/>
      <c r="E269" s="17"/>
      <c r="F269" s="17"/>
    </row>
    <row r="270" spans="1:8" x14ac:dyDescent="0.35">
      <c r="A270" s="12"/>
      <c r="B270" s="19" t="s">
        <v>1251</v>
      </c>
      <c r="C270" s="12"/>
      <c r="D270" s="12"/>
      <c r="E270" s="18"/>
      <c r="F270" s="18">
        <f>SUM(F254:F269)</f>
        <v>100826297.13151042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  <headerFooter>
    <oddFooter>Page &amp;P of &amp;N</oddFooter>
  </headerFooter>
  <rowBreaks count="16" manualBreakCount="16">
    <brk id="24" max="16383" man="1"/>
    <brk id="32" max="16383" man="1"/>
    <brk id="54" max="16383" man="1"/>
    <brk id="76" max="16383" man="1"/>
    <brk id="86" max="16383" man="1"/>
    <brk id="108" max="16383" man="1"/>
    <brk id="126" max="16383" man="1"/>
    <brk id="136" max="16383" man="1"/>
    <brk id="158" max="16383" man="1"/>
    <brk id="166" max="16383" man="1"/>
    <brk id="192" max="16383" man="1"/>
    <brk id="200" max="16383" man="1"/>
    <brk id="218" max="16383" man="1"/>
    <brk id="226" max="16383" man="1"/>
    <brk id="244" max="16383" man="1"/>
    <brk id="2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Global Unit Master</vt:lpstr>
      <vt:lpstr>Global Resource Category Master</vt:lpstr>
      <vt:lpstr>Global Resource Master</vt:lpstr>
      <vt:lpstr>Client BOQ</vt:lpstr>
      <vt:lpstr>QTO-Demolition</vt:lpstr>
      <vt:lpstr>QTO-Structure</vt:lpstr>
      <vt:lpstr>QTO-Walls</vt:lpstr>
      <vt:lpstr>QTO-Finishes</vt:lpstr>
      <vt:lpstr>QTO-Joineries</vt:lpstr>
      <vt:lpstr>Working BOQ</vt:lpstr>
      <vt:lpstr>Project Resource Master</vt:lpstr>
      <vt:lpstr>Project Resource Summary</vt:lpstr>
      <vt:lpstr>Rate Analysis</vt:lpstr>
      <vt:lpstr>Vendor Comparison</vt:lpstr>
      <vt:lpstr>Material Supplier Comparison</vt:lpstr>
      <vt:lpstr>Labour Comparison</vt:lpstr>
      <vt:lpstr>Submission Client BOQ</vt:lpstr>
      <vt:lpstr>'Client BOQ'!Print_Area</vt:lpstr>
      <vt:lpstr>'Submission Client BOQ'!Print_Area</vt:lpstr>
      <vt:lpstr>'Client BOQ'!Print_Titles</vt:lpstr>
      <vt:lpstr>'Submission Client BOQ'!Print_Titles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Rajesh Kumar Manoharan</cp:lastModifiedBy>
  <cp:lastPrinted>2026-08-27T19:13:09Z</cp:lastPrinted>
  <dcterms:created xsi:type="dcterms:W3CDTF">2025-12-18T10:41:33Z</dcterms:created>
  <dcterms:modified xsi:type="dcterms:W3CDTF">2026-08-28T11:15:40Z</dcterms:modified>
</cp:coreProperties>
</file>